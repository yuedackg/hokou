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0" windowHeight="7560"/>
  </bookViews>
  <sheets>
    <sheet name="401" sheetId="85" r:id="rId1"/>
    <sheet name="402" sheetId="86" r:id="rId2"/>
    <sheet name="ベトナム特進" sheetId="88" r:id="rId3"/>
    <sheet name="出席状況" sheetId="87" r:id="rId4"/>
    <sheet name="補講記録" sheetId="89" r:id="rId5"/>
  </sheets>
  <definedNames>
    <definedName name="_xlnm._FilterDatabase" localSheetId="0" hidden="1">'401'!$A$8:$J$103</definedName>
    <definedName name="_xlnm._FilterDatabase" localSheetId="1" hidden="1">'402'!$A$8:$Q$54</definedName>
    <definedName name="_xlnm._FilterDatabase" localSheetId="2" hidden="1">ベトナム特進!$A$8:$Q$22</definedName>
    <definedName name="_xlnm._FilterDatabase" localSheetId="4" hidden="1">補講記録!$A$1:$F$43</definedName>
    <definedName name="_xlnm.Print_Area" localSheetId="0">'401'!$A$1:$J$106</definedName>
    <definedName name="_xlnm.Print_Area" localSheetId="1">'402'!$A$1:$K$106</definedName>
    <definedName name="_xlnm.Print_Area" localSheetId="2">ベトナム特進!$A$1:$O$26</definedName>
  </definedNames>
  <calcPr calcId="145621"/>
</workbook>
</file>

<file path=xl/calcChain.xml><?xml version="1.0" encoding="utf-8"?>
<calcChain xmlns="http://schemas.openxmlformats.org/spreadsheetml/2006/main">
  <c r="X9" i="85" l="1"/>
  <c r="X10" i="85"/>
  <c r="X13" i="85"/>
  <c r="X14" i="85"/>
  <c r="X15" i="85"/>
  <c r="X16" i="85"/>
  <c r="X18" i="85"/>
  <c r="X20" i="85"/>
  <c r="X21" i="85"/>
  <c r="X22" i="85"/>
  <c r="X24" i="85"/>
  <c r="X41" i="85"/>
  <c r="X44" i="85"/>
  <c r="X61" i="85"/>
  <c r="X64" i="85"/>
  <c r="X76" i="85"/>
  <c r="X77" i="85"/>
  <c r="X78" i="85"/>
  <c r="X79" i="85"/>
  <c r="X80" i="85"/>
  <c r="X81" i="85"/>
  <c r="T9" i="85"/>
  <c r="U9" i="85"/>
  <c r="V9" i="85"/>
  <c r="T10" i="85"/>
  <c r="U10" i="85"/>
  <c r="V10" i="85"/>
  <c r="T13" i="85"/>
  <c r="U13" i="85"/>
  <c r="V13" i="85"/>
  <c r="T14" i="85"/>
  <c r="U14" i="85"/>
  <c r="V14" i="85"/>
  <c r="T15" i="85"/>
  <c r="U15" i="85"/>
  <c r="V15" i="85"/>
  <c r="T16" i="85"/>
  <c r="U16" i="85"/>
  <c r="V16" i="85"/>
  <c r="T18" i="85"/>
  <c r="U18" i="85"/>
  <c r="V18" i="85"/>
  <c r="T20" i="85"/>
  <c r="U20" i="85"/>
  <c r="V20" i="85"/>
  <c r="T21" i="85"/>
  <c r="U21" i="85"/>
  <c r="V21" i="85"/>
  <c r="T22" i="85"/>
  <c r="U22" i="85"/>
  <c r="V22" i="85"/>
  <c r="T24" i="85"/>
  <c r="U24" i="85"/>
  <c r="V24" i="85"/>
  <c r="T41" i="85"/>
  <c r="U41" i="85"/>
  <c r="V41" i="85"/>
  <c r="T44" i="85"/>
  <c r="U44" i="85"/>
  <c r="V44" i="85"/>
  <c r="T61" i="85"/>
  <c r="U61" i="85"/>
  <c r="V61" i="85"/>
  <c r="T64" i="85"/>
  <c r="U64" i="85"/>
  <c r="V64" i="85"/>
  <c r="T76" i="85"/>
  <c r="U76" i="85"/>
  <c r="V76" i="85"/>
  <c r="T77" i="85"/>
  <c r="U77" i="85"/>
  <c r="V77" i="85"/>
  <c r="T78" i="85"/>
  <c r="U78" i="85"/>
  <c r="V78" i="85"/>
  <c r="T79" i="85"/>
  <c r="U79" i="85"/>
  <c r="V79" i="85"/>
  <c r="T80" i="85"/>
  <c r="U80" i="85"/>
  <c r="V80" i="85"/>
  <c r="T81" i="85"/>
  <c r="U81" i="85"/>
  <c r="V81" i="85"/>
  <c r="H8" i="88" l="1"/>
  <c r="H8" i="86" l="1"/>
  <c r="I11" i="89" l="1"/>
  <c r="J11" i="89" s="1"/>
  <c r="I2" i="89" l="1"/>
  <c r="I3" i="89"/>
  <c r="I4" i="89"/>
  <c r="I5" i="89"/>
  <c r="I6" i="89"/>
  <c r="I7" i="89"/>
  <c r="I8" i="89"/>
  <c r="I9" i="89"/>
  <c r="I10" i="89"/>
  <c r="J10" i="89" s="1"/>
  <c r="I12" i="89"/>
  <c r="J4" i="85"/>
  <c r="J2" i="89" l="1"/>
  <c r="J4" i="89"/>
  <c r="J5" i="89"/>
  <c r="J6" i="89"/>
  <c r="J7" i="89"/>
  <c r="J8" i="89"/>
  <c r="J9" i="89"/>
  <c r="J12" i="89"/>
  <c r="J33" i="85" l="1"/>
  <c r="H33" i="85" s="1"/>
  <c r="H57" i="86" l="1"/>
  <c r="J4" i="86" l="1"/>
  <c r="J4" i="88"/>
  <c r="I89" i="86"/>
  <c r="J89" i="86"/>
  <c r="G22" i="88" l="1"/>
  <c r="I9" i="88"/>
  <c r="L25" i="88"/>
  <c r="I11" i="88"/>
  <c r="I10" i="88"/>
  <c r="I12" i="88"/>
  <c r="F22" i="88"/>
  <c r="E22" i="88"/>
  <c r="J21" i="88"/>
  <c r="I21" i="88"/>
  <c r="J20" i="88"/>
  <c r="I20" i="88"/>
  <c r="J19" i="88"/>
  <c r="I19" i="88"/>
  <c r="J18" i="88"/>
  <c r="I18" i="88"/>
  <c r="J17" i="88"/>
  <c r="I17" i="88"/>
  <c r="J16" i="88"/>
  <c r="I16" i="88"/>
  <c r="J15" i="88"/>
  <c r="I15" i="88"/>
  <c r="J14" i="88"/>
  <c r="I14" i="88"/>
  <c r="J13" i="88"/>
  <c r="I13" i="88"/>
  <c r="R12" i="88"/>
  <c r="R11" i="88"/>
  <c r="J11" i="88"/>
  <c r="R10" i="88"/>
  <c r="A10" i="88"/>
  <c r="A11" i="88" s="1"/>
  <c r="A12" i="88" s="1"/>
  <c r="R9" i="88"/>
  <c r="N4" i="88"/>
  <c r="M4" i="88"/>
  <c r="L4" i="88"/>
  <c r="N3" i="88"/>
  <c r="M3" i="88"/>
  <c r="L3" i="88"/>
  <c r="J8" i="88" l="1"/>
  <c r="H22" i="88"/>
  <c r="I22" i="88" s="1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46" i="86"/>
  <c r="J58" i="85"/>
  <c r="H58" i="85" s="1"/>
  <c r="J59" i="85"/>
  <c r="H59" i="85" s="1"/>
  <c r="J60" i="85"/>
  <c r="H60" i="85" s="1"/>
  <c r="J61" i="85"/>
  <c r="H61" i="85" s="1"/>
  <c r="Y61" i="85" s="1"/>
  <c r="J62" i="85"/>
  <c r="H62" i="85" s="1"/>
  <c r="J63" i="85"/>
  <c r="H63" i="85" s="1"/>
  <c r="J64" i="85"/>
  <c r="H64" i="85" s="1"/>
  <c r="Y64" i="85" s="1"/>
  <c r="J65" i="85"/>
  <c r="H65" i="85" s="1"/>
  <c r="J66" i="85"/>
  <c r="H66" i="85" s="1"/>
  <c r="J67" i="85"/>
  <c r="H67" i="85" s="1"/>
  <c r="J68" i="85"/>
  <c r="H68" i="85" s="1"/>
  <c r="J70" i="85"/>
  <c r="H70" i="85" s="1"/>
  <c r="J71" i="85"/>
  <c r="H71" i="85" s="1"/>
  <c r="J72" i="85"/>
  <c r="H72" i="85" s="1"/>
  <c r="J73" i="85"/>
  <c r="H73" i="85" s="1"/>
  <c r="J74" i="85"/>
  <c r="H74" i="85" s="1"/>
  <c r="J75" i="85"/>
  <c r="H75" i="85" s="1"/>
  <c r="J76" i="85"/>
  <c r="H76" i="85" s="1"/>
  <c r="Y76" i="85" s="1"/>
  <c r="J77" i="85"/>
  <c r="H77" i="85" s="1"/>
  <c r="Y77" i="85" s="1"/>
  <c r="J78" i="85"/>
  <c r="H78" i="85" s="1"/>
  <c r="Y78" i="85" s="1"/>
  <c r="J79" i="85"/>
  <c r="H79" i="85" s="1"/>
  <c r="J80" i="85"/>
  <c r="H80" i="85" s="1"/>
  <c r="Y80" i="85" s="1"/>
  <c r="J81" i="85"/>
  <c r="H81" i="85" s="1"/>
  <c r="Y81" i="85" s="1"/>
  <c r="J83" i="85"/>
  <c r="J84" i="85"/>
  <c r="J85" i="85"/>
  <c r="J86" i="85"/>
  <c r="J87" i="85"/>
  <c r="J88" i="85"/>
  <c r="H88" i="85" s="1"/>
  <c r="J89" i="85"/>
  <c r="H89" i="85" s="1"/>
  <c r="J90" i="85"/>
  <c r="H90" i="85" s="1"/>
  <c r="J91" i="85"/>
  <c r="H91" i="85" s="1"/>
  <c r="J92" i="85"/>
  <c r="H92" i="85" s="1"/>
  <c r="J93" i="85"/>
  <c r="H93" i="85" s="1"/>
  <c r="J94" i="85"/>
  <c r="H94" i="85" s="1"/>
  <c r="J102" i="85"/>
  <c r="J46" i="85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7" i="86"/>
  <c r="J48" i="86"/>
  <c r="J49" i="86"/>
  <c r="J50" i="86"/>
  <c r="J51" i="86"/>
  <c r="J52" i="86"/>
  <c r="J53" i="86"/>
  <c r="J9" i="85"/>
  <c r="H9" i="85" s="1"/>
  <c r="Y9" i="85" s="1"/>
  <c r="J10" i="85"/>
  <c r="H10" i="85" s="1"/>
  <c r="J11" i="85"/>
  <c r="H11" i="85" s="1"/>
  <c r="J12" i="85"/>
  <c r="H12" i="85" s="1"/>
  <c r="J13" i="85"/>
  <c r="H13" i="85" s="1"/>
  <c r="Y13" i="85" s="1"/>
  <c r="J14" i="85"/>
  <c r="H14" i="85" s="1"/>
  <c r="Y14" i="85" s="1"/>
  <c r="J15" i="85"/>
  <c r="H15" i="85" s="1"/>
  <c r="J16" i="85"/>
  <c r="H16" i="85" s="1"/>
  <c r="J17" i="85"/>
  <c r="H17" i="85" s="1"/>
  <c r="J18" i="85"/>
  <c r="H18" i="85" s="1"/>
  <c r="J19" i="85"/>
  <c r="H19" i="85" s="1"/>
  <c r="J20" i="85"/>
  <c r="H20" i="85" s="1"/>
  <c r="J21" i="85"/>
  <c r="H21" i="85" s="1"/>
  <c r="J22" i="85"/>
  <c r="H22" i="85" s="1"/>
  <c r="J23" i="85"/>
  <c r="H23" i="85" s="1"/>
  <c r="J24" i="85"/>
  <c r="H24" i="85" s="1"/>
  <c r="Y24" i="85" s="1"/>
  <c r="J25" i="85"/>
  <c r="J26" i="85"/>
  <c r="J27" i="85"/>
  <c r="J28" i="85"/>
  <c r="J29" i="85"/>
  <c r="H29" i="85" s="1"/>
  <c r="J30" i="85"/>
  <c r="H30" i="85" s="1"/>
  <c r="J31" i="85"/>
  <c r="H31" i="85" s="1"/>
  <c r="J32" i="85"/>
  <c r="H32" i="85" s="1"/>
  <c r="J34" i="85"/>
  <c r="H34" i="85" s="1"/>
  <c r="J36" i="85"/>
  <c r="H36" i="85" s="1"/>
  <c r="J37" i="85"/>
  <c r="H37" i="85" s="1"/>
  <c r="J38" i="85"/>
  <c r="H38" i="85" s="1"/>
  <c r="J39" i="85"/>
  <c r="H39" i="85" s="1"/>
  <c r="J40" i="85"/>
  <c r="H40" i="85" s="1"/>
  <c r="J41" i="85"/>
  <c r="H41" i="85" s="1"/>
  <c r="Y41" i="85" s="1"/>
  <c r="J43" i="85"/>
  <c r="H43" i="85" s="1"/>
  <c r="J44" i="85"/>
  <c r="H44" i="85" s="1"/>
  <c r="Y44" i="85" s="1"/>
  <c r="J45" i="85"/>
  <c r="J47" i="85"/>
  <c r="J48" i="85"/>
  <c r="J49" i="85"/>
  <c r="J50" i="85"/>
  <c r="J51" i="85"/>
  <c r="J52" i="85"/>
  <c r="J53" i="85"/>
  <c r="Y22" i="85" l="1"/>
  <c r="Y18" i="85"/>
  <c r="Y10" i="85"/>
  <c r="Y79" i="85"/>
  <c r="Y20" i="85"/>
  <c r="Y16" i="85"/>
  <c r="Y21" i="85"/>
  <c r="Y15" i="85"/>
  <c r="R56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9" i="85"/>
  <c r="R30" i="85"/>
  <c r="R31" i="85"/>
  <c r="R32" i="85"/>
  <c r="R33" i="85"/>
  <c r="R34" i="85"/>
  <c r="R35" i="85"/>
  <c r="R36" i="85"/>
  <c r="R37" i="85"/>
  <c r="R38" i="85"/>
  <c r="R39" i="85"/>
  <c r="R40" i="85"/>
  <c r="R41" i="85"/>
  <c r="R42" i="85"/>
  <c r="R43" i="85"/>
  <c r="R44" i="85"/>
  <c r="H58" i="86" l="1"/>
  <c r="H59" i="86"/>
  <c r="I59" i="86" s="1"/>
  <c r="H60" i="86"/>
  <c r="I60" i="86" s="1"/>
  <c r="H61" i="86"/>
  <c r="I61" i="86" s="1"/>
  <c r="H62" i="86"/>
  <c r="I62" i="86" s="1"/>
  <c r="H63" i="86"/>
  <c r="I63" i="86" s="1"/>
  <c r="H64" i="86"/>
  <c r="I64" i="86" s="1"/>
  <c r="H65" i="86"/>
  <c r="I65" i="86" s="1"/>
  <c r="H66" i="86"/>
  <c r="I66" i="86" s="1"/>
  <c r="H67" i="86"/>
  <c r="I67" i="86" s="1"/>
  <c r="H68" i="86"/>
  <c r="I68" i="86" s="1"/>
  <c r="H69" i="86"/>
  <c r="I69" i="86" s="1"/>
  <c r="H70" i="86"/>
  <c r="I70" i="86" s="1"/>
  <c r="H71" i="86"/>
  <c r="I71" i="86" s="1"/>
  <c r="H72" i="86"/>
  <c r="I72" i="86" s="1"/>
  <c r="H73" i="86"/>
  <c r="I73" i="86" s="1"/>
  <c r="H74" i="86"/>
  <c r="I74" i="86" s="1"/>
  <c r="H75" i="86"/>
  <c r="I75" i="86" s="1"/>
  <c r="H76" i="86"/>
  <c r="I76" i="86" s="1"/>
  <c r="H77" i="86"/>
  <c r="I77" i="86" s="1"/>
  <c r="H78" i="86"/>
  <c r="I78" i="86" s="1"/>
  <c r="H79" i="86"/>
  <c r="I79" i="86" s="1"/>
  <c r="H80" i="86"/>
  <c r="I80" i="86" s="1"/>
  <c r="H83" i="86"/>
  <c r="I83" i="86" s="1"/>
  <c r="H84" i="86"/>
  <c r="I84" i="86" s="1"/>
  <c r="H85" i="86"/>
  <c r="I85" i="86" s="1"/>
  <c r="H86" i="86"/>
  <c r="H87" i="86"/>
  <c r="I87" i="86" s="1"/>
  <c r="H88" i="86"/>
  <c r="I88" i="86" s="1"/>
  <c r="H90" i="86"/>
  <c r="I90" i="86" s="1"/>
  <c r="H91" i="86"/>
  <c r="I91" i="86" s="1"/>
  <c r="H92" i="86"/>
  <c r="I92" i="86" s="1"/>
  <c r="H93" i="86"/>
  <c r="I93" i="86" s="1"/>
  <c r="H42" i="86"/>
  <c r="I42" i="86" s="1"/>
  <c r="H9" i="86"/>
  <c r="I9" i="86" s="1"/>
  <c r="H10" i="86"/>
  <c r="I10" i="86" s="1"/>
  <c r="H11" i="86"/>
  <c r="I11" i="86" s="1"/>
  <c r="H12" i="86"/>
  <c r="I12" i="86" s="1"/>
  <c r="H13" i="86"/>
  <c r="I13" i="86" s="1"/>
  <c r="H14" i="86"/>
  <c r="I14" i="86" s="1"/>
  <c r="H15" i="86"/>
  <c r="I15" i="86" s="1"/>
  <c r="H16" i="86"/>
  <c r="I16" i="86" s="1"/>
  <c r="H17" i="86"/>
  <c r="I17" i="86" s="1"/>
  <c r="H18" i="86"/>
  <c r="I18" i="86" s="1"/>
  <c r="H19" i="86"/>
  <c r="I19" i="86" s="1"/>
  <c r="H20" i="86"/>
  <c r="I20" i="86" s="1"/>
  <c r="H21" i="86"/>
  <c r="I21" i="86" s="1"/>
  <c r="H22" i="86"/>
  <c r="I22" i="86" s="1"/>
  <c r="H23" i="86"/>
  <c r="I23" i="86" s="1"/>
  <c r="H24" i="86"/>
  <c r="I24" i="86" s="1"/>
  <c r="H25" i="86"/>
  <c r="I25" i="86" s="1"/>
  <c r="H26" i="86"/>
  <c r="I26" i="86" s="1"/>
  <c r="H27" i="86"/>
  <c r="I27" i="86" s="1"/>
  <c r="H28" i="86"/>
  <c r="I28" i="86" s="1"/>
  <c r="H29" i="86"/>
  <c r="I29" i="86" s="1"/>
  <c r="H30" i="86"/>
  <c r="I30" i="86" s="1"/>
  <c r="H34" i="86"/>
  <c r="I34" i="86" s="1"/>
  <c r="H35" i="86"/>
  <c r="I35" i="86" s="1"/>
  <c r="H36" i="86"/>
  <c r="I36" i="86" s="1"/>
  <c r="H37" i="86"/>
  <c r="I37" i="86" s="1"/>
  <c r="H38" i="86"/>
  <c r="I38" i="86" s="1"/>
  <c r="H39" i="86"/>
  <c r="I39" i="86" s="1"/>
  <c r="H40" i="86"/>
  <c r="I40" i="86" s="1"/>
  <c r="H41" i="86"/>
  <c r="I41" i="86" s="1"/>
  <c r="H43" i="86"/>
  <c r="I43" i="86" s="1"/>
  <c r="N106" i="86"/>
  <c r="M106" i="86"/>
  <c r="L106" i="86"/>
  <c r="N105" i="86"/>
  <c r="M105" i="86"/>
  <c r="L105" i="86"/>
  <c r="N104" i="86"/>
  <c r="M104" i="86"/>
  <c r="L104" i="86"/>
  <c r="G103" i="86"/>
  <c r="F103" i="86"/>
  <c r="E103" i="86"/>
  <c r="I102" i="86"/>
  <c r="S101" i="86"/>
  <c r="I101" i="86"/>
  <c r="S100" i="86"/>
  <c r="I100" i="86"/>
  <c r="S99" i="86"/>
  <c r="I99" i="86"/>
  <c r="S98" i="86"/>
  <c r="I98" i="86"/>
  <c r="S97" i="86"/>
  <c r="I97" i="86"/>
  <c r="S96" i="86"/>
  <c r="I96" i="86"/>
  <c r="S95" i="86"/>
  <c r="I95" i="86"/>
  <c r="S94" i="86"/>
  <c r="I94" i="86"/>
  <c r="S93" i="86"/>
  <c r="S92" i="86"/>
  <c r="S91" i="86"/>
  <c r="S90" i="86"/>
  <c r="S89" i="86"/>
  <c r="S88" i="86"/>
  <c r="S87" i="86"/>
  <c r="S86" i="86"/>
  <c r="I86" i="86"/>
  <c r="S85" i="86"/>
  <c r="S84" i="86"/>
  <c r="S83" i="86"/>
  <c r="S82" i="86"/>
  <c r="I82" i="86"/>
  <c r="S81" i="86"/>
  <c r="I81" i="86"/>
  <c r="S80" i="86"/>
  <c r="S79" i="86"/>
  <c r="S78" i="86"/>
  <c r="S77" i="86"/>
  <c r="S76" i="86"/>
  <c r="S75" i="86"/>
  <c r="S74" i="86"/>
  <c r="S73" i="86"/>
  <c r="S72" i="86"/>
  <c r="S71" i="86"/>
  <c r="S70" i="86"/>
  <c r="S69" i="86"/>
  <c r="S68" i="86"/>
  <c r="S67" i="86"/>
  <c r="S66" i="86"/>
  <c r="S65" i="86"/>
  <c r="S64" i="86"/>
  <c r="S63" i="86"/>
  <c r="S62" i="86"/>
  <c r="S61" i="86"/>
  <c r="S60" i="86"/>
  <c r="S59" i="86"/>
  <c r="A59" i="86"/>
  <c r="A60" i="86" s="1"/>
  <c r="A61" i="86" s="1"/>
  <c r="A62" i="86" s="1"/>
  <c r="A63" i="86" s="1"/>
  <c r="A64" i="86" s="1"/>
  <c r="A65" i="86" s="1"/>
  <c r="A66" i="86" s="1"/>
  <c r="A67" i="86" s="1"/>
  <c r="A68" i="86" s="1"/>
  <c r="A69" i="86" s="1"/>
  <c r="A70" i="86" s="1"/>
  <c r="A71" i="86" s="1"/>
  <c r="A72" i="86" s="1"/>
  <c r="A73" i="86" s="1"/>
  <c r="A74" i="86" s="1"/>
  <c r="A75" i="86" s="1"/>
  <c r="A76" i="86" s="1"/>
  <c r="A77" i="86" s="1"/>
  <c r="A78" i="86" s="1"/>
  <c r="A79" i="86" s="1"/>
  <c r="A80" i="86" s="1"/>
  <c r="A81" i="86" s="1"/>
  <c r="A82" i="86" s="1"/>
  <c r="A83" i="86" s="1"/>
  <c r="A84" i="86" s="1"/>
  <c r="A85" i="86" s="1"/>
  <c r="A86" i="86" s="1"/>
  <c r="A87" i="86" s="1"/>
  <c r="A88" i="86" s="1"/>
  <c r="A89" i="86" s="1"/>
  <c r="A90" i="86" s="1"/>
  <c r="A91" i="86" s="1"/>
  <c r="A92" i="86" s="1"/>
  <c r="A93" i="86" s="1"/>
  <c r="A94" i="86" s="1"/>
  <c r="A95" i="86" s="1"/>
  <c r="A96" i="86" s="1"/>
  <c r="A97" i="86" s="1"/>
  <c r="A98" i="86" s="1"/>
  <c r="A99" i="86" s="1"/>
  <c r="A100" i="86" s="1"/>
  <c r="A101" i="86" s="1"/>
  <c r="A102" i="86" s="1"/>
  <c r="S58" i="86"/>
  <c r="I58" i="86"/>
  <c r="J57" i="86"/>
  <c r="G54" i="86"/>
  <c r="F54" i="86"/>
  <c r="E54" i="86"/>
  <c r="I53" i="86"/>
  <c r="I52" i="86"/>
  <c r="I51" i="86"/>
  <c r="I50" i="86"/>
  <c r="I49" i="86"/>
  <c r="S48" i="86"/>
  <c r="I48" i="86"/>
  <c r="S47" i="86"/>
  <c r="I47" i="86"/>
  <c r="S46" i="86"/>
  <c r="I46" i="86"/>
  <c r="S45" i="86"/>
  <c r="I45" i="86"/>
  <c r="S44" i="86"/>
  <c r="I44" i="86"/>
  <c r="S43" i="86"/>
  <c r="S42" i="86"/>
  <c r="S41" i="86"/>
  <c r="S40" i="86"/>
  <c r="S39" i="86"/>
  <c r="S38" i="86"/>
  <c r="S37" i="86"/>
  <c r="S36" i="86"/>
  <c r="S35" i="86"/>
  <c r="S34" i="86"/>
  <c r="S33" i="86"/>
  <c r="I33" i="86"/>
  <c r="S32" i="86"/>
  <c r="I32" i="86"/>
  <c r="S31" i="86"/>
  <c r="I31" i="86"/>
  <c r="S30" i="86"/>
  <c r="S29" i="86"/>
  <c r="S28" i="86"/>
  <c r="S27" i="86"/>
  <c r="S26" i="86"/>
  <c r="S25" i="86"/>
  <c r="S24" i="86"/>
  <c r="S23" i="86"/>
  <c r="S22" i="86"/>
  <c r="S21" i="86"/>
  <c r="S20" i="86"/>
  <c r="S19" i="86"/>
  <c r="S18" i="86"/>
  <c r="S17" i="86"/>
  <c r="S16" i="86"/>
  <c r="S15" i="86"/>
  <c r="S14" i="86"/>
  <c r="S13" i="86"/>
  <c r="S12" i="86"/>
  <c r="S11" i="86"/>
  <c r="S10" i="86"/>
  <c r="A10" i="86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A48" i="86" s="1"/>
  <c r="A49" i="86" s="1"/>
  <c r="A50" i="86" s="1"/>
  <c r="A51" i="86" s="1"/>
  <c r="A52" i="86" s="1"/>
  <c r="A53" i="86" s="1"/>
  <c r="S9" i="86"/>
  <c r="J8" i="86"/>
  <c r="N4" i="86"/>
  <c r="M4" i="86"/>
  <c r="L4" i="86"/>
  <c r="N3" i="86"/>
  <c r="M3" i="86"/>
  <c r="L3" i="86"/>
  <c r="H103" i="86" l="1"/>
  <c r="I103" i="86" s="1"/>
  <c r="H54" i="86"/>
  <c r="I54" i="86" s="1"/>
  <c r="A59" i="85" l="1"/>
  <c r="A60" i="85" s="1"/>
  <c r="A61" i="85" s="1"/>
  <c r="A62" i="85" s="1"/>
  <c r="A63" i="85" s="1"/>
  <c r="A64" i="85" s="1"/>
  <c r="A65" i="85" s="1"/>
  <c r="A66" i="85" s="1"/>
  <c r="A67" i="85" s="1"/>
  <c r="A68" i="85" s="1"/>
  <c r="A69" i="85" s="1"/>
  <c r="A70" i="85" s="1"/>
  <c r="A71" i="85" s="1"/>
  <c r="A72" i="85" s="1"/>
  <c r="A73" i="85" s="1"/>
  <c r="A74" i="85" s="1"/>
  <c r="A75" i="85" s="1"/>
  <c r="A76" i="85" s="1"/>
  <c r="A77" i="85" s="1"/>
  <c r="A78" i="85" s="1"/>
  <c r="A79" i="85" s="1"/>
  <c r="A80" i="85" s="1"/>
  <c r="A81" i="85" s="1"/>
  <c r="A82" i="85" s="1"/>
  <c r="A83" i="85" s="1"/>
  <c r="A84" i="85" s="1"/>
  <c r="A85" i="85" s="1"/>
  <c r="A86" i="85" s="1"/>
  <c r="A87" i="85" s="1"/>
  <c r="A88" i="85" s="1"/>
  <c r="A89" i="85" s="1"/>
  <c r="A90" i="85" s="1"/>
  <c r="A91" i="85" s="1"/>
  <c r="A92" i="85" s="1"/>
  <c r="A93" i="85" s="1"/>
  <c r="A94" i="85" s="1"/>
  <c r="A95" i="85" s="1"/>
  <c r="A96" i="85" s="1"/>
  <c r="A97" i="85" s="1"/>
  <c r="A98" i="85" s="1"/>
  <c r="A99" i="85" s="1"/>
  <c r="A100" i="85" s="1"/>
  <c r="A101" i="85" s="1"/>
  <c r="A102" i="85" s="1"/>
  <c r="I92" i="85"/>
  <c r="I91" i="85"/>
  <c r="I90" i="85"/>
  <c r="I89" i="85"/>
  <c r="I88" i="85"/>
  <c r="A10" i="85"/>
  <c r="A11" i="85" s="1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A48" i="85" s="1"/>
  <c r="A49" i="85" s="1"/>
  <c r="A50" i="85" s="1"/>
  <c r="A51" i="85" s="1"/>
  <c r="A52" i="85" s="1"/>
  <c r="A53" i="85" s="1"/>
  <c r="I44" i="85"/>
  <c r="I43" i="85"/>
  <c r="I42" i="85"/>
  <c r="I41" i="85"/>
  <c r="I40" i="85"/>
  <c r="I39" i="85"/>
  <c r="N106" i="85" l="1"/>
  <c r="M106" i="85"/>
  <c r="L106" i="85"/>
  <c r="N105" i="85"/>
  <c r="M105" i="85"/>
  <c r="L105" i="85"/>
  <c r="N104" i="85"/>
  <c r="M104" i="85"/>
  <c r="L104" i="85"/>
  <c r="H103" i="85"/>
  <c r="G103" i="85"/>
  <c r="F103" i="85"/>
  <c r="E103" i="85"/>
  <c r="I102" i="85"/>
  <c r="I94" i="85"/>
  <c r="I93" i="85"/>
  <c r="I81" i="85"/>
  <c r="I80" i="85"/>
  <c r="I79" i="85"/>
  <c r="I78" i="85"/>
  <c r="I77" i="85"/>
  <c r="I76" i="85"/>
  <c r="I75" i="85"/>
  <c r="I74" i="85"/>
  <c r="I73" i="85"/>
  <c r="I72" i="85"/>
  <c r="I71" i="85"/>
  <c r="I70" i="85"/>
  <c r="I69" i="85"/>
  <c r="I68" i="85"/>
  <c r="I67" i="85"/>
  <c r="I66" i="85"/>
  <c r="I65" i="85"/>
  <c r="I64" i="85"/>
  <c r="I63" i="85"/>
  <c r="I62" i="85"/>
  <c r="I61" i="85"/>
  <c r="I60" i="85"/>
  <c r="I59" i="85"/>
  <c r="I58" i="85"/>
  <c r="H54" i="85"/>
  <c r="G54" i="85"/>
  <c r="F54" i="85"/>
  <c r="E54" i="85"/>
  <c r="I38" i="85"/>
  <c r="I37" i="85"/>
  <c r="I36" i="85"/>
  <c r="I35" i="85"/>
  <c r="I34" i="85"/>
  <c r="I33" i="85"/>
  <c r="I32" i="85"/>
  <c r="I31" i="85"/>
  <c r="I30" i="85"/>
  <c r="I29" i="85"/>
  <c r="I28" i="85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N4" i="85"/>
  <c r="M4" i="85"/>
  <c r="L4" i="85"/>
  <c r="N3" i="85"/>
  <c r="M3" i="85"/>
  <c r="L3" i="85"/>
  <c r="I103" i="85" l="1"/>
  <c r="I54" i="85"/>
</calcChain>
</file>

<file path=xl/sharedStrings.xml><?xml version="1.0" encoding="utf-8"?>
<sst xmlns="http://schemas.openxmlformats.org/spreadsheetml/2006/main" count="722" uniqueCount="389">
  <si>
    <t>学番</t>
    <phoneticPr fontId="3"/>
  </si>
  <si>
    <t>氏名</t>
    <rPh sb="0" eb="2">
      <t>シメイ</t>
    </rPh>
    <phoneticPr fontId="3"/>
  </si>
  <si>
    <t>読み</t>
    <rPh sb="0" eb="1">
      <t>ヨ</t>
    </rPh>
    <phoneticPr fontId="3"/>
  </si>
  <si>
    <t>出　席　率　一　覧</t>
    <rPh sb="0" eb="1">
      <t>デ</t>
    </rPh>
    <rPh sb="2" eb="3">
      <t>セキ</t>
    </rPh>
    <rPh sb="4" eb="5">
      <t>リツ</t>
    </rPh>
    <rPh sb="6" eb="7">
      <t>イチ</t>
    </rPh>
    <rPh sb="8" eb="9">
      <t>ラン</t>
    </rPh>
    <phoneticPr fontId="3"/>
  </si>
  <si>
    <t xml:space="preserve">出席率　= </t>
    <rPh sb="0" eb="2">
      <t>シュッセキ</t>
    </rPh>
    <rPh sb="2" eb="3">
      <t>リツ</t>
    </rPh>
    <phoneticPr fontId="3"/>
  </si>
  <si>
    <t>↑</t>
    <phoneticPr fontId="3"/>
  </si>
  <si>
    <t>　→</t>
    <phoneticPr fontId="3"/>
  </si>
  <si>
    <t>　　↓</t>
    <phoneticPr fontId="3"/>
  </si>
  <si>
    <t>65% 以下</t>
    <rPh sb="4" eb="6">
      <t>イカ</t>
    </rPh>
    <phoneticPr fontId="3"/>
  </si>
  <si>
    <t>75.0% ～ 79.9%</t>
    <phoneticPr fontId="3"/>
  </si>
  <si>
    <t>65.0% ～ 74.9%</t>
    <phoneticPr fontId="3"/>
  </si>
  <si>
    <t>№</t>
    <phoneticPr fontId="3"/>
  </si>
  <si>
    <t>平均</t>
    <rPh sb="0" eb="2">
      <t>ヘイキン</t>
    </rPh>
    <phoneticPr fontId="3"/>
  </si>
  <si>
    <t>傾向</t>
    <rPh sb="0" eb="2">
      <t>ケイコウ</t>
    </rPh>
    <phoneticPr fontId="3"/>
  </si>
  <si>
    <t>欠課時数</t>
  </si>
  <si>
    <t>授業時数</t>
    <phoneticPr fontId="3"/>
  </si>
  <si>
    <t>全授業時間</t>
    <phoneticPr fontId="3"/>
  </si>
  <si>
    <t>（　全授業時間　- 欠席した授業時間　）</t>
    <phoneticPr fontId="3"/>
  </si>
  <si>
    <t>課程</t>
    <rPh sb="0" eb="2">
      <t>カテイ</t>
    </rPh>
    <phoneticPr fontId="3"/>
  </si>
  <si>
    <t>2年コース</t>
    <rPh sb="1" eb="2">
      <t>ネン</t>
    </rPh>
    <phoneticPr fontId="3"/>
  </si>
  <si>
    <t>3年コース</t>
    <rPh sb="1" eb="2">
      <t>ネン</t>
    </rPh>
    <phoneticPr fontId="3"/>
  </si>
  <si>
    <t>4年コース</t>
    <rPh sb="1" eb="2">
      <t>ネン</t>
    </rPh>
    <phoneticPr fontId="3"/>
  </si>
  <si>
    <t>月</t>
    <rPh sb="0" eb="1">
      <t>ツキ</t>
    </rPh>
    <phoneticPr fontId="3"/>
  </si>
  <si>
    <t>月</t>
    <rPh sb="0" eb="1">
      <t>ガツ</t>
    </rPh>
    <phoneticPr fontId="3"/>
  </si>
  <si>
    <t>85% 以下</t>
    <phoneticPr fontId="3"/>
  </si>
  <si>
    <t>3年コース</t>
    <rPh sb="1" eb="2">
      <t>ネン</t>
    </rPh>
    <phoneticPr fontId="1"/>
  </si>
  <si>
    <t>2年コース</t>
    <rPh sb="1" eb="2">
      <t>ネン</t>
    </rPh>
    <phoneticPr fontId="1"/>
  </si>
  <si>
    <t>PHAM THE HUNG</t>
  </si>
  <si>
    <t>ファム　テ　フン</t>
  </si>
  <si>
    <t>NGUYEN DONG DUY KIEN</t>
  </si>
  <si>
    <t>MAHATO　SUMAN</t>
  </si>
  <si>
    <t>マハト　スマン　</t>
  </si>
  <si>
    <t>NGUYEN BA NGOC</t>
  </si>
  <si>
    <t>グエン　バ　ゴック</t>
  </si>
  <si>
    <t>DO HOANH HOANG</t>
  </si>
  <si>
    <t>GURUNG FILINA</t>
  </si>
  <si>
    <t>グルン　フィリナ　</t>
  </si>
  <si>
    <t>NGUYEN ANH TU</t>
  </si>
  <si>
    <t>グェン　アン　トゥ</t>
  </si>
  <si>
    <t>VU VAN TRUC</t>
  </si>
  <si>
    <t>ヴー　ヴァン　チュック</t>
  </si>
  <si>
    <t>NGUYEN DANG NAM</t>
  </si>
  <si>
    <t>グェン　ダン　ナム</t>
  </si>
  <si>
    <t>SUSITHA INDIKA PRIYANATH</t>
  </si>
  <si>
    <t>SIGDEL SAGAR</t>
  </si>
  <si>
    <t>シグデル　サガル</t>
  </si>
  <si>
    <t>HOANG ANH　DAI</t>
  </si>
  <si>
    <t>NGUYEN  DINH NAM　</t>
  </si>
  <si>
    <t>グェン　ディン　ナム</t>
  </si>
  <si>
    <t>DANG THI THANH NHAN</t>
  </si>
  <si>
    <t>ダン　ティ　タン　ニャン</t>
  </si>
  <si>
    <t>NGUYEN TUAN ANH</t>
  </si>
  <si>
    <t>グェン　トゥアン　アィン</t>
  </si>
  <si>
    <t>NGUYEN DUC QUY</t>
  </si>
  <si>
    <t>グエン　ドゥック　クイ</t>
  </si>
  <si>
    <t>GURUNG ASHA</t>
  </si>
  <si>
    <t>グルン　アシャ</t>
  </si>
  <si>
    <t>POKHREL SUJAN</t>
  </si>
  <si>
    <t>ポカレル　スザン</t>
  </si>
  <si>
    <t>ACHARYA TIKA RAM</t>
  </si>
  <si>
    <t>アチャリヤ　ティカラム</t>
  </si>
  <si>
    <t>THAPA SHER BAHADUR</t>
  </si>
  <si>
    <t>タパ　シェル　バハドゥル</t>
  </si>
  <si>
    <t>THAPA NISAN</t>
  </si>
  <si>
    <t>タパ　ニサン</t>
  </si>
  <si>
    <t>B K ASHOK</t>
  </si>
  <si>
    <t>ビー　ケー　アソク</t>
  </si>
  <si>
    <t>GOUDEL SUNIL</t>
  </si>
  <si>
    <t>ゴウデル　スニル</t>
  </si>
  <si>
    <t>RANA PADAM BAHADUR</t>
  </si>
  <si>
    <t>ラナ　パダム　バハドウル</t>
  </si>
  <si>
    <t>KARKI PABITRA</t>
  </si>
  <si>
    <t>カルキ　パビドラ</t>
  </si>
  <si>
    <t>NGUYEN QUANG QUY</t>
  </si>
  <si>
    <t>グエン　クアン　クィー</t>
  </si>
  <si>
    <t>POUDEL UDHISTHIR</t>
  </si>
  <si>
    <t>パウディル　ユディスティル　</t>
  </si>
  <si>
    <t>MARIKHU RAMESH</t>
  </si>
  <si>
    <t>マリク　ラメス</t>
  </si>
  <si>
    <t>DO THI DUNG</t>
  </si>
  <si>
    <t>ドー　ティ　ズン</t>
  </si>
  <si>
    <t>NGUYEN HUU LONG</t>
  </si>
  <si>
    <t>グェン　フウ　ロン</t>
  </si>
  <si>
    <t>ＭＡＨＡＴ　ＡＭＲＩＴ</t>
  </si>
  <si>
    <t>マハト　アムリット</t>
  </si>
  <si>
    <t>DAO THI NGA</t>
  </si>
  <si>
    <t>ダォ　ティ　ガ</t>
  </si>
  <si>
    <t>CHHETRI RASIK</t>
  </si>
  <si>
    <t>チェトリ　ラシク</t>
  </si>
  <si>
    <t>KARKI SAJINA</t>
  </si>
  <si>
    <t>カルキ　サジナ</t>
  </si>
  <si>
    <t>NGUYEN VAN HOANG</t>
  </si>
  <si>
    <t>グェン　バン　ホアン</t>
  </si>
  <si>
    <t>NGUYEN VAN DUC</t>
  </si>
  <si>
    <t>グェン　ヴァン　ドゥック</t>
  </si>
  <si>
    <t>DINH NGOC NAM</t>
  </si>
  <si>
    <t>ディン　グック　ナム</t>
  </si>
  <si>
    <t>LE THI THU</t>
  </si>
  <si>
    <t>レ　ティ　トゥ</t>
  </si>
  <si>
    <t>VU TRONG HUAN</t>
  </si>
  <si>
    <t>ブ　チョン　ファン</t>
  </si>
  <si>
    <t>NGUYEN DUC THO</t>
  </si>
  <si>
    <t>グェン　ドック　ト</t>
  </si>
  <si>
    <t>HO THI LUYCH</t>
  </si>
  <si>
    <t>ホ　ティ　ルィック</t>
  </si>
  <si>
    <t>DINH THI THOA</t>
  </si>
  <si>
    <t>ディン　ティ　トア</t>
  </si>
  <si>
    <t>PHAN THI DAO</t>
  </si>
  <si>
    <t>ファン　ティ　ダオ</t>
  </si>
  <si>
    <t>DANG THI LOAN</t>
  </si>
  <si>
    <t>ダン　ティ　ロアン</t>
  </si>
  <si>
    <t>MAHATO ANJU</t>
  </si>
  <si>
    <t>マハト　アンズ</t>
  </si>
  <si>
    <t>LAMA NABINA</t>
  </si>
  <si>
    <t>ラマ　ナビナ</t>
  </si>
  <si>
    <t>PURJA SHANTI</t>
  </si>
  <si>
    <t>プルジャ　サンティ</t>
  </si>
  <si>
    <t>SIJAPATI YUPESH</t>
  </si>
  <si>
    <t>シザパティ　ユペス</t>
  </si>
  <si>
    <t>CHHETRI BABITA</t>
  </si>
  <si>
    <t>チェトリ　バビタ</t>
  </si>
  <si>
    <t>TRAN NGOC DUONG</t>
  </si>
  <si>
    <t>チャン　ゴック　ズォン　</t>
  </si>
  <si>
    <t>ISHAN MADUSANKA</t>
  </si>
  <si>
    <t>イシャン　マドゥサンカ</t>
  </si>
  <si>
    <t>GAUTAM DIPENDRA</t>
  </si>
  <si>
    <t>ガウタム　ディペンドラ</t>
  </si>
  <si>
    <t>NGUYEN DINH DO</t>
  </si>
  <si>
    <t>グエン　ディン　ド　</t>
  </si>
  <si>
    <t>GALHENAGE CHANIDU SHALINDA PERERA</t>
  </si>
  <si>
    <t>ガルヘナゲ　チャニトウ　シャリンダ　ペレラ</t>
  </si>
  <si>
    <t>BIST KESHAV</t>
  </si>
  <si>
    <t>ビスト　ケサブ　</t>
  </si>
  <si>
    <t>NGUYEN VAN BAC</t>
  </si>
  <si>
    <t>グェン　バン　バック</t>
  </si>
  <si>
    <t>NGUYEN THI HANG</t>
  </si>
  <si>
    <t>グエン　ティ　ハン</t>
  </si>
  <si>
    <t>PAHARI SUMAN RAJ</t>
  </si>
  <si>
    <t>パハリ　スマン　ラジュ　</t>
  </si>
  <si>
    <t>SAPKOTA LAMSAL SAPANA</t>
  </si>
  <si>
    <t>サプコタ　ラムサル　サパナ</t>
  </si>
  <si>
    <t>KHATRI LALITA</t>
  </si>
  <si>
    <t>カトリ　ラリタ</t>
  </si>
  <si>
    <t>TRUONG CONG SON</t>
  </si>
  <si>
    <t>ツオン　コン　ソン</t>
  </si>
  <si>
    <t>TRUONG KIEU ANH</t>
  </si>
  <si>
    <t>チュオン　キェウ　アン</t>
  </si>
  <si>
    <t>THAPA SHREES HIMA</t>
  </si>
  <si>
    <t>タパ　スレス　ヒマ</t>
  </si>
  <si>
    <t>PADHYE JIVKALA</t>
  </si>
  <si>
    <t>パディヤ　ジブカラ</t>
  </si>
  <si>
    <t>LIYANAGE SACHIRA PROMUDITH PERERA</t>
  </si>
  <si>
    <t>リヤナゲ　サチラ　プロムテ　ペレラ</t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</si>
  <si>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</si>
  <si>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</si>
  <si>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402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</si>
  <si>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</si>
  <si>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t>TRAN XUAN HAU</t>
  </si>
  <si>
    <t>チャン　スアン　ハウ</t>
  </si>
  <si>
    <t>NGUYEN THI THUY</t>
  </si>
  <si>
    <t>グェン　ティ　トゥイ</t>
  </si>
  <si>
    <t>SHARMA YAM PRASAD</t>
  </si>
  <si>
    <t>サルマ　エム　プラサド</t>
  </si>
  <si>
    <t>PHUNG THI HONG HOA</t>
  </si>
  <si>
    <t>フン　ティ　ホン　ホア</t>
  </si>
  <si>
    <t>TRAN NGOC NGUYEN</t>
  </si>
  <si>
    <t>チャン　ゴック　グエン</t>
  </si>
  <si>
    <t>DO VAN DAT</t>
  </si>
  <si>
    <t>ド　ヴァン　ダット</t>
  </si>
  <si>
    <t>VU VAN MANH</t>
  </si>
  <si>
    <t>ヴ　ヴァン　マイン</t>
  </si>
  <si>
    <t>SHRESTHA　NAMRATA</t>
  </si>
  <si>
    <t>シュレスタ　ナムラタ　</t>
  </si>
  <si>
    <t>NGO VAN DUONG</t>
  </si>
  <si>
    <t>ゴ　バン　ズォン</t>
  </si>
  <si>
    <t>TRUONG TUAN VU</t>
  </si>
  <si>
    <t>チュオン　トゥアン　ヴー</t>
  </si>
  <si>
    <t>THAPA MAGAR SUJAN</t>
  </si>
  <si>
    <t>タパ　マガル　スザン</t>
  </si>
  <si>
    <t>KC RISAB</t>
  </si>
  <si>
    <t>ケーシー　リシャブ</t>
  </si>
  <si>
    <t>DO VAN DOAN</t>
  </si>
  <si>
    <t>ド　バン　ドアン</t>
  </si>
  <si>
    <t>LE SON TUNG</t>
  </si>
  <si>
    <t>レ　ソン　トウン　</t>
  </si>
  <si>
    <t>SHAHI RAJAN</t>
  </si>
  <si>
    <t>シャヒ　ラジャン</t>
  </si>
  <si>
    <t>MAHATO RAJESH</t>
  </si>
  <si>
    <t>マハト　ラジェシュ</t>
  </si>
  <si>
    <t>KUNWAR NISHA</t>
  </si>
  <si>
    <t>クンワル　ニサ</t>
  </si>
  <si>
    <t>THAPA  OJAN</t>
  </si>
  <si>
    <t>タパ　オザン</t>
  </si>
  <si>
    <t>PATRA ASHISH KUMAR</t>
  </si>
  <si>
    <t>パトラ　アシシュ　クマール　</t>
  </si>
  <si>
    <t>NGUYEN KET DOAN</t>
  </si>
  <si>
    <t>グェン　ケット　ドアン　</t>
  </si>
  <si>
    <t>NGUYEN QUANG DAO</t>
  </si>
  <si>
    <t>グエン　クアン　ダオ</t>
  </si>
  <si>
    <t>PHAM MINH DUC</t>
  </si>
  <si>
    <t>ファム　ミン　ドゥック</t>
  </si>
  <si>
    <t>GURUNG JANAKI</t>
  </si>
  <si>
    <t>グルン　ジャナキ</t>
  </si>
  <si>
    <t>王　浩</t>
  </si>
  <si>
    <t>オウ　コウ</t>
  </si>
  <si>
    <t>PATHAK SANTONA</t>
  </si>
  <si>
    <t>パタク　サントーナ</t>
  </si>
  <si>
    <t>THAPA SURAJ</t>
  </si>
  <si>
    <t>タパ　スラジ</t>
  </si>
  <si>
    <t>LAMICHHANE GAUTAM</t>
  </si>
  <si>
    <t>ラミチャネ　ガウタム</t>
  </si>
  <si>
    <t>BASNET SUJAN BABU</t>
  </si>
  <si>
    <t>バスネト　スザン　バブ</t>
  </si>
  <si>
    <t>NGUYEN QUOC CUONG</t>
  </si>
  <si>
    <t>グエン　クオック　クオン</t>
  </si>
  <si>
    <t>DANANJAYA BANDARA</t>
  </si>
  <si>
    <t>ダナンジャヤ　バンダーラ</t>
  </si>
  <si>
    <t>KANDEL SANDESH</t>
  </si>
  <si>
    <t>カンデル　サンデス</t>
  </si>
  <si>
    <t>LAMA PUSPA</t>
  </si>
  <si>
    <t>ラマ　プスパ</t>
  </si>
  <si>
    <t>B K SAFAL</t>
  </si>
  <si>
    <t>ビーケ　サファル</t>
  </si>
  <si>
    <t>BHANDARI KUNJAN</t>
  </si>
  <si>
    <t>バンダリ　クンジャン</t>
  </si>
  <si>
    <t>NGUYEN THI SEN</t>
  </si>
  <si>
    <t>グェン　ティ　セン</t>
  </si>
  <si>
    <t>DO CA LY</t>
  </si>
  <si>
    <t>ド　カ　リー</t>
  </si>
  <si>
    <t>LE THI HUYEN TRANG</t>
  </si>
  <si>
    <t>レ　ティ　フェン　チャン</t>
  </si>
  <si>
    <t>NGUYEN HUU CONG</t>
  </si>
  <si>
    <t>グェン　ヒュウ　コン</t>
  </si>
  <si>
    <t>HO THI HUONG NHAI</t>
  </si>
  <si>
    <t>ホ　ティ　フォン　ナイ</t>
  </si>
  <si>
    <t>NGO DUY HA</t>
  </si>
  <si>
    <t>ゴ　ドゥイ　ハ</t>
  </si>
  <si>
    <t>NGUYEN THI PHUONG NHI</t>
  </si>
  <si>
    <t>グェン　ティ　フォン　ニ</t>
  </si>
  <si>
    <t>PHAM VAN SU</t>
  </si>
  <si>
    <t>ファム　ヴァン　ス</t>
  </si>
  <si>
    <t>TU THI THOA</t>
  </si>
  <si>
    <t>トウ　ティ　トア</t>
  </si>
  <si>
    <t>NGUYEN　THI　THUY</t>
  </si>
  <si>
    <t>TRAN　VAN　HOAN</t>
  </si>
  <si>
    <t>チャン　バン　ホアン</t>
  </si>
  <si>
    <t>BUI THI HUONG</t>
  </si>
  <si>
    <t>ブイ　テイ　フォン　</t>
  </si>
  <si>
    <t>NGUYEN THANH KINH</t>
  </si>
  <si>
    <t>グェン　タン　キン</t>
  </si>
  <si>
    <t>VU TRUNG NGUYEN</t>
  </si>
  <si>
    <t>ブ　ジュン　グェン</t>
  </si>
  <si>
    <t>BUI ANH QUANG</t>
  </si>
  <si>
    <t>ブィ　アン　ワン</t>
  </si>
  <si>
    <t>DINH QUANG VU</t>
  </si>
  <si>
    <t>ディン　クアン　ブー</t>
  </si>
  <si>
    <t>VIHANGA SHAMIKA</t>
  </si>
  <si>
    <t>ヴィハンガ　シャミカ</t>
  </si>
  <si>
    <t>WALIMUNI PRABATＨ</t>
  </si>
  <si>
    <t>ワリムニ　プラバトウ</t>
  </si>
  <si>
    <t>NGUYEN VIET HINH</t>
  </si>
  <si>
    <t>グエン　ヴィエト　ヒン</t>
  </si>
  <si>
    <t>DUONG THANH SON</t>
  </si>
  <si>
    <t>ズーン　タン　ソン</t>
  </si>
  <si>
    <t>HOANG THAI VY</t>
  </si>
  <si>
    <t>ホアン　タイ　ヴィ</t>
  </si>
  <si>
    <t>LAMICHHANE DIL MAYA</t>
  </si>
  <si>
    <t>ラミチャネ　ディル　マヤ</t>
  </si>
  <si>
    <t>ADHIKARI SANDIP</t>
  </si>
  <si>
    <t>アディカリ　サンディプ</t>
  </si>
  <si>
    <t>VU NGOC DUYEN</t>
  </si>
  <si>
    <t>ヴ　ゴック　ズエン</t>
  </si>
  <si>
    <t>G C SHRIRAM</t>
  </si>
  <si>
    <t xml:space="preserve"> ジーシー　シリラム</t>
  </si>
  <si>
    <t>THAPA BIKASH</t>
  </si>
  <si>
    <t>タパ　ビカシュ</t>
  </si>
  <si>
    <t>DINESH SHAMEERA</t>
  </si>
  <si>
    <t>ディネシュ　サミラ</t>
  </si>
  <si>
    <t>LE VAN TRIEU</t>
  </si>
  <si>
    <t>レー　ヴァン　チェウ</t>
  </si>
  <si>
    <t>DUSHMANTHA PADMA SRI ABEKOON</t>
  </si>
  <si>
    <t>ドゥシュマンタ　パドゥナ　スリ　アベーコン</t>
  </si>
  <si>
    <t>ANJALI INDRACHAPA WIJERATHNE</t>
  </si>
  <si>
    <t>アンゼリ　インドラチャパ　ビゼーラトナ</t>
  </si>
  <si>
    <t>MUDIYANSELAGE JAITH</t>
  </si>
  <si>
    <t>ムディヤンセラゲ　ジャイット</t>
  </si>
  <si>
    <t>GALAN DIL BAHADUR</t>
  </si>
  <si>
    <t>ガラン　ディル　バハデゥル</t>
  </si>
  <si>
    <t>学番</t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</si>
  <si>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</si>
  <si>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</si>
  <si>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修正
出席率時</t>
    <rPh sb="0" eb="2">
      <t>シュウセイ</t>
    </rPh>
    <rPh sb="3" eb="5">
      <t>シュッセキ</t>
    </rPh>
    <rPh sb="5" eb="6">
      <t>リツ</t>
    </rPh>
    <rPh sb="6" eb="7">
      <t>ジ</t>
    </rPh>
    <phoneticPr fontId="1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</si>
  <si>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405</t>
    </r>
    <phoneticPr fontId="3"/>
  </si>
  <si>
    <t>TRUONG THI THUY TRANG</t>
  </si>
  <si>
    <t>チョウン　ティ　トゥイ　チャン</t>
  </si>
  <si>
    <t>グェン　テイ　トウイ</t>
  </si>
  <si>
    <t>NGUYEN VAN THINH</t>
  </si>
  <si>
    <t>グェン　ヴァン　ティン</t>
  </si>
  <si>
    <t>GIANG QUANG HUY</t>
  </si>
  <si>
    <t>ジャン　クアン　フィ</t>
  </si>
  <si>
    <t>除籍</t>
    <rPh sb="0" eb="2">
      <t>ジョセキ</t>
    </rPh>
    <phoneticPr fontId="3"/>
  </si>
  <si>
    <t>休学</t>
    <rPh sb="0" eb="2">
      <t>キュウガク</t>
    </rPh>
    <phoneticPr fontId="3"/>
  </si>
  <si>
    <t>退学処分</t>
    <rPh sb="0" eb="2">
      <t>タイガク</t>
    </rPh>
    <rPh sb="2" eb="4">
      <t>ショブン</t>
    </rPh>
    <phoneticPr fontId="3"/>
  </si>
  <si>
    <t>退学処分</t>
    <rPh sb="0" eb="2">
      <t>タイガク</t>
    </rPh>
    <rPh sb="2" eb="4">
      <t>ショブン</t>
    </rPh>
    <phoneticPr fontId="3"/>
  </si>
  <si>
    <t>休学</t>
    <rPh sb="0" eb="2">
      <t>キュウガク</t>
    </rPh>
    <phoneticPr fontId="3"/>
  </si>
  <si>
    <t>休学</t>
    <rPh sb="0" eb="2">
      <t>キュウガク</t>
    </rPh>
    <phoneticPr fontId="3"/>
  </si>
  <si>
    <t>グェン　ドン　ズゥイ　キエン</t>
    <phoneticPr fontId="3"/>
  </si>
  <si>
    <t>ド　ホアン　ホアン　</t>
    <phoneticPr fontId="3"/>
  </si>
  <si>
    <t>スシタ　インディカ　プリヤナトウ</t>
    <phoneticPr fontId="3"/>
  </si>
  <si>
    <t>ホアン　アン　ダイ</t>
    <phoneticPr fontId="3"/>
  </si>
  <si>
    <t>自主退学</t>
    <rPh sb="0" eb="2">
      <t>ジシュ</t>
    </rPh>
    <rPh sb="2" eb="4">
      <t>タイガク</t>
    </rPh>
    <phoneticPr fontId="3"/>
  </si>
  <si>
    <t>学番</t>
    <rPh sb="0" eb="1">
      <t>ガク</t>
    </rPh>
    <rPh sb="1" eb="2">
      <t>バン</t>
    </rPh>
    <phoneticPr fontId="3"/>
  </si>
  <si>
    <t>日付</t>
    <rPh sb="0" eb="2">
      <t>ヒヅケ</t>
    </rPh>
    <phoneticPr fontId="3"/>
  </si>
  <si>
    <t>教科</t>
    <rPh sb="0" eb="2">
      <t>キョウカ</t>
    </rPh>
    <phoneticPr fontId="3"/>
  </si>
  <si>
    <t>内容</t>
    <rPh sb="0" eb="2">
      <t>ナイヨウ</t>
    </rPh>
    <phoneticPr fontId="3"/>
  </si>
  <si>
    <t>時間(1時間）</t>
    <rPh sb="0" eb="2">
      <t>ジカン</t>
    </rPh>
    <rPh sb="4" eb="6">
      <t>ジカン</t>
    </rPh>
    <phoneticPr fontId="3"/>
  </si>
  <si>
    <t>CAD</t>
    <phoneticPr fontId="3"/>
  </si>
  <si>
    <t>Office</t>
    <phoneticPr fontId="3"/>
  </si>
  <si>
    <t>適用日</t>
    <rPh sb="0" eb="2">
      <t>テキヨウ</t>
    </rPh>
    <rPh sb="2" eb="3">
      <t>ビ</t>
    </rPh>
    <phoneticPr fontId="3"/>
  </si>
  <si>
    <t>補講時間数合計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</si>
  <si>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補講時間数合計（Fix)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</si>
  <si>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自主退学</t>
    <rPh sb="0" eb="2">
      <t>ジシュ</t>
    </rPh>
    <rPh sb="2" eb="4">
      <t>タイガク</t>
    </rPh>
    <phoneticPr fontId="3"/>
  </si>
  <si>
    <t>CAD</t>
    <phoneticPr fontId="3"/>
  </si>
  <si>
    <t>Office</t>
    <phoneticPr fontId="3"/>
  </si>
  <si>
    <t>半分</t>
    <rPh sb="0" eb="2">
      <t>ハンブン</t>
    </rPh>
    <phoneticPr fontId="3"/>
  </si>
  <si>
    <t>休学</t>
    <rPh sb="0" eb="2">
      <t>キュウガク</t>
    </rPh>
    <phoneticPr fontId="3"/>
  </si>
  <si>
    <t>除籍</t>
    <rPh sb="0" eb="2">
      <t>ジョセキ</t>
    </rPh>
    <phoneticPr fontId="3"/>
  </si>
  <si>
    <t>Name</t>
    <phoneticPr fontId="3"/>
  </si>
  <si>
    <t>名前</t>
    <rPh sb="0" eb="2">
      <t>ナマエ</t>
    </rPh>
    <phoneticPr fontId="3"/>
  </si>
  <si>
    <t>性別</t>
    <rPh sb="0" eb="2">
      <t>セイベツ</t>
    </rPh>
    <phoneticPr fontId="3"/>
  </si>
  <si>
    <t>学科</t>
    <rPh sb="0" eb="2">
      <t>ガッカ</t>
    </rPh>
    <phoneticPr fontId="3"/>
  </si>
  <si>
    <t>出席率（前の週）</t>
    <rPh sb="0" eb="2">
      <t>シュッセキ</t>
    </rPh>
    <rPh sb="2" eb="3">
      <t>リツ</t>
    </rPh>
    <rPh sb="4" eb="5">
      <t>マエ</t>
    </rPh>
    <rPh sb="6" eb="7">
      <t>シュウ</t>
    </rPh>
    <phoneticPr fontId="3"/>
  </si>
  <si>
    <t>出席率（今週）</t>
    <rPh sb="0" eb="2">
      <t>シュッセキ</t>
    </rPh>
    <rPh sb="2" eb="3">
      <t>リツ</t>
    </rPh>
    <rPh sb="4" eb="6">
      <t>コンシュウ</t>
    </rPh>
    <phoneticPr fontId="3"/>
  </si>
  <si>
    <t>ビザ更新期限</t>
    <rPh sb="2" eb="4">
      <t>コウシン</t>
    </rPh>
    <rPh sb="4" eb="6">
      <t>キゲン</t>
    </rPh>
    <phoneticPr fontId="3"/>
  </si>
  <si>
    <t>出身校</t>
    <rPh sb="0" eb="3">
      <t>シュッシンコウ</t>
    </rPh>
    <phoneticPr fontId="3"/>
  </si>
  <si>
    <t>担任</t>
    <rPh sb="0" eb="2">
      <t>タンニン</t>
    </rPh>
    <phoneticPr fontId="3"/>
  </si>
  <si>
    <t>コメント</t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</si>
  <si>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</si>
  <si>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</si>
  <si>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キャリア形成学科</t>
    <rPh sb="4" eb="6">
      <t>ケイセイ</t>
    </rPh>
    <rPh sb="6" eb="8">
      <t>ガッカ</t>
    </rPh>
    <phoneticPr fontId="3"/>
  </si>
  <si>
    <t>国際情報ビジネス学科</t>
    <rPh sb="0" eb="2">
      <t>コクサイ</t>
    </rPh>
    <rPh sb="2" eb="4">
      <t>ジョウホウ</t>
    </rPh>
    <rPh sb="8" eb="10">
      <t>ガッカ</t>
    </rPh>
    <phoneticPr fontId="3"/>
  </si>
  <si>
    <t>くるめ国際交流学院</t>
    <phoneticPr fontId="3"/>
  </si>
  <si>
    <t>FLA学院</t>
    <phoneticPr fontId="3"/>
  </si>
  <si>
    <t>JSL日本アカデミー</t>
    <phoneticPr fontId="3"/>
  </si>
  <si>
    <t>富士インターナショナルアカデミー</t>
    <phoneticPr fontId="3"/>
  </si>
  <si>
    <t>日本国際語学アカデミー　京都校</t>
    <phoneticPr fontId="3"/>
  </si>
  <si>
    <t>九州言語教育学院</t>
    <phoneticPr fontId="3"/>
  </si>
  <si>
    <t>アジア日本語学院</t>
    <phoneticPr fontId="3"/>
  </si>
  <si>
    <t>九州日語学院</t>
    <phoneticPr fontId="3"/>
  </si>
  <si>
    <t>久留米ゼミナール　久留米校(日)</t>
    <phoneticPr fontId="3"/>
  </si>
  <si>
    <t>福岡国際学院</t>
    <phoneticPr fontId="3"/>
  </si>
  <si>
    <t>いろは日本語学校</t>
    <phoneticPr fontId="3"/>
  </si>
  <si>
    <t>植田</t>
    <rPh sb="0" eb="2">
      <t>ウエダ</t>
    </rPh>
    <phoneticPr fontId="3"/>
  </si>
  <si>
    <t>風のために欠席。</t>
    <rPh sb="0" eb="1">
      <t>カゼ</t>
    </rPh>
    <rPh sb="5" eb="7">
      <t>ケッセキ</t>
    </rPh>
    <phoneticPr fontId="3"/>
  </si>
  <si>
    <t>10月26日</t>
  </si>
  <si>
    <t>11月2日</t>
  </si>
  <si>
    <t>11月9日</t>
  </si>
  <si>
    <t>11月9日2</t>
  </si>
  <si>
    <t>列3</t>
  </si>
  <si>
    <t>4</t>
  </si>
  <si>
    <t>10</t>
  </si>
  <si>
    <t>1</t>
  </si>
  <si>
    <t>列4</t>
  </si>
  <si>
    <t>列5</t>
  </si>
  <si>
    <t>列6</t>
  </si>
  <si>
    <t>学番7</t>
    <rPh sb="0" eb="1">
      <t>ガクバン7</t>
    </rPh>
    <phoneticPr fontId="3"/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</si>
  <si>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</si>
  <si>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</si>
  <si>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</si>
  <si>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</si>
  <si>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</si>
  <si>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</si>
  <si>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</si>
  <si>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</si>
  <si>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</si>
  <si>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</si>
  <si>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</si>
  <si>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体調を崩して、通院中。木曜日以外には連絡あり。</t>
    <rPh sb="0" eb="2">
      <t>タイチョウ</t>
    </rPh>
    <rPh sb="3" eb="4">
      <t>クズ</t>
    </rPh>
    <rPh sb="7" eb="10">
      <t>ツウインチュウ</t>
    </rPh>
    <rPh sb="11" eb="14">
      <t>モクヨウビ</t>
    </rPh>
    <rPh sb="14" eb="16">
      <t>イガイ</t>
    </rPh>
    <rPh sb="18" eb="20">
      <t>レンラク</t>
    </rPh>
    <phoneticPr fontId="3"/>
  </si>
  <si>
    <t>風のために欠席（2日間）。補講対象者</t>
    <rPh sb="0" eb="1">
      <t>カゼ</t>
    </rPh>
    <rPh sb="5" eb="7">
      <t>ケッセキ</t>
    </rPh>
    <rPh sb="9" eb="10">
      <t>ニチ</t>
    </rPh>
    <rPh sb="10" eb="11">
      <t>カン</t>
    </rPh>
    <rPh sb="13" eb="15">
      <t>ホコウ</t>
    </rPh>
    <rPh sb="15" eb="18">
      <t>タイショウシャ</t>
    </rPh>
    <phoneticPr fontId="3"/>
  </si>
  <si>
    <t>精神病に近い症状があり、友人たちの前でも暴れるなどの状況。18xxx　ダオさんが彼女を連れて、11/5にベトナムに帰国（11/6に連絡あり）。11/11　ダオ君から話を聞いたうえで、ベトナムの両親に電話をお行い、休学か退学のアクションを開始する。本人からはメッセージとして、「学校を辞める」とのメッセージが入っているが、分かっているか確認が必要。</t>
    <rPh sb="0" eb="3">
      <t>セイシンビョウ</t>
    </rPh>
    <rPh sb="4" eb="5">
      <t>チカ</t>
    </rPh>
    <rPh sb="6" eb="8">
      <t>ショウジョウ</t>
    </rPh>
    <rPh sb="12" eb="14">
      <t>ユウジン</t>
    </rPh>
    <rPh sb="17" eb="18">
      <t>マエ</t>
    </rPh>
    <rPh sb="20" eb="21">
      <t>アバ</t>
    </rPh>
    <rPh sb="26" eb="28">
      <t>ジョウキョウ</t>
    </rPh>
    <rPh sb="40" eb="42">
      <t>カノジョ</t>
    </rPh>
    <rPh sb="43" eb="44">
      <t>ツ</t>
    </rPh>
    <rPh sb="57" eb="59">
      <t>キコク</t>
    </rPh>
    <rPh sb="65" eb="67">
      <t>レンラク</t>
    </rPh>
    <rPh sb="79" eb="80">
      <t>クン</t>
    </rPh>
    <rPh sb="82" eb="83">
      <t>ハナシ</t>
    </rPh>
    <rPh sb="84" eb="85">
      <t>キ</t>
    </rPh>
    <rPh sb="96" eb="98">
      <t>リョウシン</t>
    </rPh>
    <rPh sb="99" eb="101">
      <t>デンワ</t>
    </rPh>
    <rPh sb="103" eb="104">
      <t>オコナ</t>
    </rPh>
    <rPh sb="106" eb="108">
      <t>キュウガク</t>
    </rPh>
    <rPh sb="109" eb="111">
      <t>タイガク</t>
    </rPh>
    <rPh sb="118" eb="120">
      <t>カイシ</t>
    </rPh>
    <rPh sb="123" eb="125">
      <t>ホンニン</t>
    </rPh>
    <rPh sb="138" eb="140">
      <t>ガッコウ</t>
    </rPh>
    <rPh sb="141" eb="142">
      <t>ヤ</t>
    </rPh>
    <rPh sb="153" eb="154">
      <t>ハイ</t>
    </rPh>
    <rPh sb="160" eb="161">
      <t>ワ</t>
    </rPh>
    <rPh sb="167" eb="169">
      <t>カクニン</t>
    </rPh>
    <rPh sb="170" eb="172">
      <t>ヒツヨウ</t>
    </rPh>
    <phoneticPr fontId="3"/>
  </si>
  <si>
    <t>アルバイトを二つ掛け持ちしており、アルバイトを優先させてしまい欠席。</t>
    <rPh sb="6" eb="7">
      <t>フタ</t>
    </rPh>
    <rPh sb="8" eb="9">
      <t>カ</t>
    </rPh>
    <rPh sb="10" eb="11">
      <t>モ</t>
    </rPh>
    <rPh sb="23" eb="25">
      <t>ユウセン</t>
    </rPh>
    <rPh sb="31" eb="33">
      <t>ケッセキ</t>
    </rPh>
    <phoneticPr fontId="3"/>
  </si>
  <si>
    <t>二日無断欠席。</t>
    <rPh sb="0" eb="2">
      <t>フツカ</t>
    </rPh>
    <rPh sb="2" eb="4">
      <t>ムダン</t>
    </rPh>
    <rPh sb="4" eb="6">
      <t>ケッセキ</t>
    </rPh>
    <phoneticPr fontId="3"/>
  </si>
  <si>
    <t>欠席なし。</t>
    <rPh sb="0" eb="2">
      <t>ケッセキ</t>
    </rPh>
    <phoneticPr fontId="3"/>
  </si>
  <si>
    <t>11/4まで無断帰国で出席が低下。</t>
    <rPh sb="6" eb="8">
      <t>ムダン</t>
    </rPh>
    <rPh sb="8" eb="10">
      <t>キコク</t>
    </rPh>
    <rPh sb="11" eb="13">
      <t>シュッセキ</t>
    </rPh>
    <rPh sb="14" eb="16">
      <t>テイカ</t>
    </rPh>
    <phoneticPr fontId="3"/>
  </si>
  <si>
    <t>10月26日</t>
    <phoneticPr fontId="3"/>
  </si>
  <si>
    <t>11月2日</t>
    <phoneticPr fontId="3"/>
  </si>
  <si>
    <t>11月9日</t>
    <phoneticPr fontId="3"/>
  </si>
  <si>
    <t>11月16日</t>
  </si>
  <si>
    <t>11月16日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</si>
</sst>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#,##0.0_ "/>
    <numFmt numFmtId="178" formatCode="yyyy/m/d;@"/>
  </numFmts>
  <fonts count="32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8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66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53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1" borderId="37" applyNumberFormat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14" fillId="0" borderId="3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10" borderId="3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1" applyNumberFormat="0" applyFill="0" applyAlignment="0" applyProtection="0">
      <alignment vertical="center"/>
    </xf>
    <xf numFmtId="0" fontId="19" fillId="0" borderId="32" applyNumberFormat="0" applyFill="0" applyAlignment="0" applyProtection="0">
      <alignment vertical="center"/>
    </xf>
    <xf numFmtId="0" fontId="20" fillId="0" borderId="3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39" applyNumberFormat="0" applyFill="0" applyAlignment="0" applyProtection="0">
      <alignment vertical="center"/>
    </xf>
    <xf numFmtId="0" fontId="22" fillId="10" borderId="35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3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6" borderId="0" applyNumberFormat="0" applyBorder="0" applyAlignment="0" applyProtection="0">
      <alignment vertical="center"/>
    </xf>
    <xf numFmtId="0" fontId="1" fillId="0" borderId="0"/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3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8" fillId="0" borderId="0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>
      <alignment vertical="center"/>
    </xf>
    <xf numFmtId="0" fontId="4" fillId="0" borderId="3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56" fontId="5" fillId="2" borderId="6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56" fontId="5" fillId="2" borderId="7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2" borderId="27" xfId="0" applyFont="1" applyFill="1" applyBorder="1" applyAlignment="1">
      <alignment horizontal="center" vertical="center"/>
    </xf>
    <xf numFmtId="56" fontId="5" fillId="2" borderId="28" xfId="0" applyNumberFormat="1" applyFont="1" applyFill="1" applyBorder="1" applyAlignment="1">
      <alignment horizontal="center" vertical="center"/>
    </xf>
    <xf numFmtId="0" fontId="5" fillId="0" borderId="28" xfId="0" applyNumberFormat="1" applyFont="1" applyFill="1" applyBorder="1" applyAlignment="1">
      <alignment horizontal="center" vertical="center"/>
    </xf>
    <xf numFmtId="177" fontId="4" fillId="0" borderId="11" xfId="0" applyNumberFormat="1" applyFont="1" applyFill="1" applyBorder="1" applyAlignment="1">
      <alignment horizontal="center" vertical="center"/>
    </xf>
    <xf numFmtId="177" fontId="4" fillId="0" borderId="15" xfId="0" applyNumberFormat="1" applyFont="1" applyFill="1" applyBorder="1" applyAlignment="1">
      <alignment horizontal="center" vertical="center"/>
    </xf>
    <xf numFmtId="177" fontId="4" fillId="0" borderId="19" xfId="0" applyNumberFormat="1" applyFont="1" applyFill="1" applyBorder="1" applyAlignment="1">
      <alignment horizontal="center" vertical="center"/>
    </xf>
    <xf numFmtId="177" fontId="4" fillId="0" borderId="23" xfId="0" applyNumberFormat="1" applyFont="1" applyFill="1" applyBorder="1" applyAlignment="1">
      <alignment horizontal="center" vertical="center"/>
    </xf>
    <xf numFmtId="177" fontId="4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176" fontId="5" fillId="0" borderId="29" xfId="0" applyNumberFormat="1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 shrinkToFit="1"/>
    </xf>
    <xf numFmtId="0" fontId="5" fillId="0" borderId="13" xfId="0" applyFont="1" applyFill="1" applyBorder="1" applyAlignment="1">
      <alignment vertical="center" shrinkToFit="1"/>
    </xf>
    <xf numFmtId="0" fontId="5" fillId="0" borderId="17" xfId="0" applyFont="1" applyFill="1" applyBorder="1" applyAlignment="1">
      <alignment vertical="center" shrinkToFit="1"/>
    </xf>
    <xf numFmtId="0" fontId="5" fillId="0" borderId="21" xfId="0" applyFont="1" applyFill="1" applyBorder="1" applyAlignment="1">
      <alignment vertical="center" shrinkToFit="1"/>
    </xf>
    <xf numFmtId="0" fontId="5" fillId="0" borderId="24" xfId="0" applyFont="1" applyFill="1" applyBorder="1" applyAlignment="1">
      <alignment vertical="center" shrinkToFit="1"/>
    </xf>
    <xf numFmtId="0" fontId="4" fillId="0" borderId="15" xfId="0" applyFont="1" applyFill="1" applyBorder="1">
      <alignment vertical="center"/>
    </xf>
    <xf numFmtId="0" fontId="4" fillId="2" borderId="30" xfId="0" applyFont="1" applyFill="1" applyBorder="1">
      <alignment vertical="center"/>
    </xf>
    <xf numFmtId="176" fontId="5" fillId="0" borderId="13" xfId="0" applyNumberFormat="1" applyFont="1" applyFill="1" applyBorder="1" applyAlignment="1">
      <alignment horizontal="center" vertical="center"/>
    </xf>
    <xf numFmtId="176" fontId="5" fillId="0" borderId="14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4" fillId="0" borderId="10" xfId="0" applyFont="1" applyFill="1" applyBorder="1">
      <alignment vertical="center"/>
    </xf>
    <xf numFmtId="0" fontId="4" fillId="0" borderId="19" xfId="0" applyFont="1" applyFill="1" applyBorder="1">
      <alignment vertical="center"/>
    </xf>
    <xf numFmtId="0" fontId="4" fillId="0" borderId="22" xfId="0" applyFont="1" applyFill="1" applyBorder="1">
      <alignment vertical="center"/>
    </xf>
    <xf numFmtId="176" fontId="5" fillId="0" borderId="10" xfId="0" applyNumberFormat="1" applyFont="1" applyFill="1" applyBorder="1" applyAlignment="1">
      <alignment horizontal="center" vertical="center"/>
    </xf>
    <xf numFmtId="176" fontId="5" fillId="0" borderId="18" xfId="0" applyNumberFormat="1" applyFont="1" applyFill="1" applyBorder="1" applyAlignment="1">
      <alignment horizontal="center" vertical="center"/>
    </xf>
    <xf numFmtId="176" fontId="5" fillId="0" borderId="22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17" xfId="0" applyNumberFormat="1" applyFont="1" applyFill="1" applyBorder="1" applyAlignment="1">
      <alignment horizontal="center" vertical="center"/>
    </xf>
    <xf numFmtId="176" fontId="5" fillId="0" borderId="21" xfId="0" applyNumberFormat="1" applyFont="1" applyFill="1" applyBorder="1" applyAlignment="1">
      <alignment horizontal="center" vertical="center"/>
    </xf>
    <xf numFmtId="176" fontId="5" fillId="0" borderId="24" xfId="0" applyNumberFormat="1" applyFont="1" applyFill="1" applyBorder="1" applyAlignment="1">
      <alignment horizontal="center" vertical="center"/>
    </xf>
    <xf numFmtId="176" fontId="5" fillId="0" borderId="25" xfId="0" applyNumberFormat="1" applyFont="1" applyFill="1" applyBorder="1" applyAlignment="1">
      <alignment horizontal="center" vertical="center"/>
    </xf>
    <xf numFmtId="56" fontId="5" fillId="2" borderId="40" xfId="0" applyNumberFormat="1" applyFont="1" applyFill="1" applyBorder="1" applyAlignment="1">
      <alignment horizontal="center" vertical="center"/>
    </xf>
    <xf numFmtId="0" fontId="4" fillId="0" borderId="14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25" xfId="0" applyFont="1" applyFill="1" applyBorder="1">
      <alignment vertical="center"/>
    </xf>
    <xf numFmtId="0" fontId="4" fillId="2" borderId="41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2" xfId="0" applyFont="1" applyFill="1" applyBorder="1">
      <alignment vertical="center"/>
    </xf>
    <xf numFmtId="56" fontId="5" fillId="2" borderId="43" xfId="0" applyNumberFormat="1" applyFont="1" applyFill="1" applyBorder="1" applyAlignment="1">
      <alignment horizontal="center" vertical="center"/>
    </xf>
    <xf numFmtId="56" fontId="5" fillId="2" borderId="42" xfId="0" applyNumberFormat="1" applyFont="1" applyFill="1" applyBorder="1" applyAlignment="1">
      <alignment horizontal="center" vertical="center"/>
    </xf>
    <xf numFmtId="0" fontId="5" fillId="37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2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44" xfId="0" applyFont="1" applyFill="1" applyBorder="1" applyAlignment="1">
      <alignment horizontal="center" vertical="center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8" fillId="0" borderId="47" xfId="0" applyFont="1" applyFill="1" applyBorder="1" applyAlignment="1">
      <alignment horizontal="left" vertical="center" shrinkToFit="1"/>
    </xf>
    <xf numFmtId="0" fontId="30" fillId="0" borderId="48" xfId="0" applyFont="1" applyFill="1" applyBorder="1" applyAlignment="1">
      <alignment horizontal="left" vertical="center" shrinkToFit="1"/>
    </xf>
    <xf numFmtId="0" fontId="29" fillId="0" borderId="46" xfId="5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vertical="center" shrinkToFit="1"/>
    </xf>
    <xf numFmtId="176" fontId="5" fillId="38" borderId="13" xfId="0" applyNumberFormat="1" applyFont="1" applyFill="1" applyBorder="1" applyAlignment="1">
      <alignment horizontal="center" vertical="center"/>
    </xf>
    <xf numFmtId="176" fontId="5" fillId="38" borderId="14" xfId="0" applyNumberFormat="1" applyFont="1" applyFill="1" applyBorder="1" applyAlignment="1">
      <alignment horizontal="center" vertical="center"/>
    </xf>
    <xf numFmtId="0" fontId="4" fillId="38" borderId="15" xfId="0" applyFont="1" applyFill="1" applyBorder="1">
      <alignment vertical="center"/>
    </xf>
    <xf numFmtId="177" fontId="4" fillId="38" borderId="15" xfId="0" applyNumberFormat="1" applyFont="1" applyFill="1" applyBorder="1" applyAlignment="1">
      <alignment horizontal="center"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4" fillId="0" borderId="0" xfId="51" applyNumberFormat="1" applyFont="1" applyAlignment="1">
      <alignment vertical="center" shrinkToFit="1"/>
    </xf>
    <xf numFmtId="176" fontId="4" fillId="0" borderId="0" xfId="0" applyNumberFormat="1" applyFont="1">
      <alignment vertical="center"/>
    </xf>
    <xf numFmtId="176" fontId="4" fillId="0" borderId="0" xfId="0" applyNumberFormat="1" applyFont="1" applyFill="1">
      <alignment vertical="center"/>
    </xf>
    <xf numFmtId="178" fontId="4" fillId="0" borderId="0" xfId="0" applyNumberFormat="1" applyFont="1">
      <alignment vertical="center"/>
    </xf>
    <xf numFmtId="0" fontId="4" fillId="0" borderId="52" xfId="0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54" xfId="0" applyFont="1" applyFill="1" applyBorder="1" applyAlignment="1">
      <alignment horizontal="center" vertical="center"/>
    </xf>
    <xf numFmtId="0" fontId="4" fillId="0" borderId="55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2" borderId="43" xfId="0" applyFont="1" applyFill="1" applyBorder="1" applyAlignment="1">
      <alignment vertical="center"/>
    </xf>
    <xf numFmtId="0" fontId="5" fillId="2" borderId="42" xfId="0" applyFont="1" applyFill="1" applyBorder="1" applyAlignment="1">
      <alignment vertical="center"/>
    </xf>
    <xf numFmtId="56" fontId="5" fillId="2" borderId="43" xfId="0" applyNumberFormat="1" applyFont="1" applyFill="1" applyBorder="1" applyAlignment="1">
      <alignment vertical="center"/>
    </xf>
    <xf numFmtId="56" fontId="5" fillId="2" borderId="42" xfId="0" applyNumberFormat="1" applyFont="1" applyFill="1" applyBorder="1" applyAlignment="1">
      <alignment vertical="center"/>
    </xf>
    <xf numFmtId="56" fontId="5" fillId="2" borderId="40" xfId="0" applyNumberFormat="1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56" fontId="5" fillId="2" borderId="28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56" fontId="5" fillId="2" borderId="7" xfId="0" applyNumberFormat="1" applyFont="1" applyFill="1" applyBorder="1" applyAlignment="1">
      <alignment vertical="center"/>
    </xf>
    <xf numFmtId="56" fontId="5" fillId="2" borderId="5" xfId="0" applyNumberFormat="1" applyFont="1" applyFill="1" applyBorder="1" applyAlignment="1">
      <alignment vertical="center"/>
    </xf>
    <xf numFmtId="56" fontId="5" fillId="2" borderId="6" xfId="0" applyNumberFormat="1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</cellXfs>
  <cellStyles count="53">
    <cellStyle name="20% - アクセント 1 2" xfId="6"/>
    <cellStyle name="20% - アクセント 2 2" xfId="7"/>
    <cellStyle name="20% - アクセント 3 2" xfId="8"/>
    <cellStyle name="20% - アクセント 4 2" xfId="9"/>
    <cellStyle name="20% - アクセント 5 2" xfId="10"/>
    <cellStyle name="20% - アクセント 6 2" xfId="11"/>
    <cellStyle name="40% - アクセント 1 2" xfId="12"/>
    <cellStyle name="40% - アクセント 2 2" xfId="13"/>
    <cellStyle name="40% - アクセント 3 2" xfId="14"/>
    <cellStyle name="40% - アクセント 4 2" xfId="15"/>
    <cellStyle name="40% - アクセント 5 2" xfId="16"/>
    <cellStyle name="40% - アクセント 6 2" xfId="17"/>
    <cellStyle name="60% - アクセント 1 2" xfId="18"/>
    <cellStyle name="60% - アクセント 2 2" xfId="19"/>
    <cellStyle name="60% - アクセント 3 2" xfId="20"/>
    <cellStyle name="60% - アクセント 4 2" xfId="21"/>
    <cellStyle name="60% - アクセント 5 2" xfId="22"/>
    <cellStyle name="60% - アクセント 6 2" xfId="23"/>
    <cellStyle name="アクセント 1 2" xfId="24"/>
    <cellStyle name="アクセント 2 2" xfId="25"/>
    <cellStyle name="アクセント 3 2" xfId="26"/>
    <cellStyle name="アクセント 4 2" xfId="27"/>
    <cellStyle name="アクセント 5 2" xfId="28"/>
    <cellStyle name="アクセント 6 2" xfId="29"/>
    <cellStyle name="タイトル 2" xfId="30"/>
    <cellStyle name="チェック セル 2" xfId="31"/>
    <cellStyle name="どちらでもない 2" xfId="32"/>
    <cellStyle name="パーセント" xfId="51" builtinId="5"/>
    <cellStyle name="パーセント 2" xfId="2"/>
    <cellStyle name="メモ 2" xfId="33"/>
    <cellStyle name="メモ 2 2" xfId="34"/>
    <cellStyle name="リンク セル 2" xfId="35"/>
    <cellStyle name="悪い 2" xfId="36"/>
    <cellStyle name="計算 2" xfId="37"/>
    <cellStyle name="警告文 2" xfId="38"/>
    <cellStyle name="桁区切り 2" xfId="3"/>
    <cellStyle name="見出し 1 2" xfId="39"/>
    <cellStyle name="見出し 2 2" xfId="40"/>
    <cellStyle name="見出し 3 2" xfId="41"/>
    <cellStyle name="見出し 4 2" xfId="42"/>
    <cellStyle name="集計 2" xfId="43"/>
    <cellStyle name="出力 2" xfId="44"/>
    <cellStyle name="説明文 2" xfId="45"/>
    <cellStyle name="入力 2" xfId="46"/>
    <cellStyle name="標準" xfId="0" builtinId="0"/>
    <cellStyle name="標準 18" xfId="52"/>
    <cellStyle name="標準 2" xfId="4"/>
    <cellStyle name="標準 2 2" xfId="47"/>
    <cellStyle name="標準 3" xfId="5"/>
    <cellStyle name="標準 4" xfId="1"/>
    <cellStyle name="標準 4 2" xfId="48"/>
    <cellStyle name="標準_20年度10月留学生願書情報 (1)" xfId="50"/>
    <cellStyle name="良い 2" xfId="49"/>
  </cellStyles>
  <dxfs count="503"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66FF66"/>
      <color rgb="FF99FF99"/>
      <color rgb="FFFF66FF"/>
      <color rgb="FF99FFCC"/>
      <color rgb="FF66FF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テーブル1" displayName="テーブル1" ref="A8:AC53" totalsRowShown="0" headerRowDxfId="203" dataDxfId="202" tableBorderDxfId="201">
  <autoFilter ref="A8:AC53"/>
  <tableColumns count="29">
    <tableColumn id="1" name="№" dataDxfId="200">
      <calculatedColumnFormula>A8+1</calculatedColumnFormula>
    </tableColumn>
    <tableColumn id="2" name="学番" dataDxfId="199"/>
    <tableColumn id="3" name="氏名" dataDxfId="198"/>
    <tableColumn id="4" name="読み" dataDxfId="197"/>
    <tableColumn id="5" name="10月26日" dataDxfId="196"/>
    <tableColumn id="6" name="11月2日" dataDxfId="195"/>
    <tableColumn id="7" name="11月9日" dataDxfId="194"/>
    <tableColumn id="8" name="11月16日" dataDxfId="193"/>
    <tableColumn id="9" name="傾向" dataDxfId="192"/>
    <tableColumn id="10" name="11月9日2" dataDxfId="191">
      <calculatedColumnFormula>IF(B9="","",VLOOKUP(B9,出席状況!$A$1:$D$136,3,FALSE))</calculatedColumnFormula>
    </tableColumn>
    <tableColumn id="11" name="列3" dataDxfId="190"/>
    <tableColumn id="12" name="4" dataDxfId="189"/>
    <tableColumn id="13" name="10" dataDxfId="188"/>
    <tableColumn id="14" name="1" dataDxfId="187"/>
    <tableColumn id="15" name="月" dataDxfId="186"/>
    <tableColumn id="16" name="列4" dataDxfId="185"/>
    <tableColumn id="17" name="列5" dataDxfId="184"/>
    <tableColumn id="18" name="列6" dataDxfId="183"/>
    <tableColumn id="19" name="性別" dataDxfId="182"/>
    <tableColumn id="20" name="学番7" dataDxfId="181"/>
    <tableColumn id="21" name="Name" dataDxfId="180"/>
    <tableColumn id="22" name="名前" dataDxfId="179"/>
    <tableColumn id="23" name="学科" dataDxfId="178"/>
    <tableColumn id="24" name="出席率（前の週）" dataDxfId="177"/>
    <tableColumn id="25" name="出席率（今週）" dataDxfId="176"/>
    <tableColumn id="26" name="ビザ更新期限" dataDxfId="175"/>
    <tableColumn id="27" name="出身校" dataDxfId="174"/>
    <tableColumn id="28" name="担任" dataDxfId="173"/>
    <tableColumn id="29" name="コメント" dataDxfId="17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57:AC102" totalsRowShown="0" headerRowDxfId="171" dataDxfId="170" tableBorderDxfId="169">
  <autoFilter ref="A57:AC102"/>
  <tableColumns count="29">
    <tableColumn id="1" name="№" dataDxfId="168">
      <calculatedColumnFormula>A57+1</calculatedColumnFormula>
    </tableColumn>
    <tableColumn id="2" name="学番" dataDxfId="167"/>
    <tableColumn id="3" name="氏名" dataDxfId="166"/>
    <tableColumn id="4" name="読み" dataDxfId="165"/>
    <tableColumn id="5" name="10月26日" dataDxfId="164"/>
    <tableColumn id="6" name="11月2日" dataDxfId="163"/>
    <tableColumn id="7" name="11月9日" dataDxfId="162"/>
    <tableColumn id="8" name="11月16日" dataDxfId="161"/>
    <tableColumn id="9" name="傾向" dataDxfId="160"/>
    <tableColumn id="10" name="11月9日2" dataDxfId="159"/>
    <tableColumn id="11" name="列3" dataDxfId="158"/>
    <tableColumn id="12" name="4" dataDxfId="157"/>
    <tableColumn id="13" name="10" dataDxfId="156"/>
    <tableColumn id="14" name="1" dataDxfId="155"/>
    <tableColumn id="15" name="月" dataDxfId="154"/>
    <tableColumn id="16" name="列4" dataDxfId="153"/>
    <tableColumn id="17" name="列5" dataDxfId="152"/>
    <tableColumn id="18" name="列6" dataDxfId="151" dataCellStyle="標準 4"/>
    <tableColumn id="19" name="列7" dataDxfId="150"/>
    <tableColumn id="20" name="列8" dataDxfId="149"/>
    <tableColumn id="21" name="列9" dataDxfId="148"/>
    <tableColumn id="22" name="列10" dataDxfId="147"/>
    <tableColumn id="23" name="列11" dataDxfId="146"/>
    <tableColumn id="24" name="列12" dataDxfId="145"/>
    <tableColumn id="25" name="列13" dataDxfId="144"/>
    <tableColumn id="26" name="列14" dataDxfId="143"/>
    <tableColumn id="27" name="列15" dataDxfId="142"/>
    <tableColumn id="28" name="列16" dataDxfId="141"/>
    <tableColumn id="29" name="列17" dataDxfId="14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C106"/>
  <sheetViews>
    <sheetView tabSelected="1" view="pageBreakPreview" topLeftCell="A67" zoomScale="115" zoomScaleNormal="115" zoomScaleSheetLayoutView="115" zoomScalePageLayoutView="85" workbookViewId="0">
      <selection activeCell="F86" sqref="F86"/>
    </sheetView>
  </sheetViews>
  <sheetFormatPr defaultRowHeight="11.25" outlineLevelCol="1"/>
  <cols>
    <col min="1" max="1" width="3.875" style="8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8.5" style="8" customWidth="1"/>
    <col min="11" max="11" width="4.625" style="70" customWidth="1"/>
    <col min="12" max="12" width="3.125" style="70" customWidth="1"/>
    <col min="13" max="13" width="3.875" style="70" customWidth="1"/>
    <col min="14" max="14" width="3.125" style="70" customWidth="1"/>
    <col min="15" max="15" width="4.625" style="72" bestFit="1" customWidth="1"/>
    <col min="16" max="17" width="4.625" style="70" customWidth="1"/>
    <col min="18" max="18" width="9" style="70"/>
    <col min="19" max="19" width="5.375" style="70" customWidth="1"/>
    <col min="20" max="20" width="6.25" style="70" customWidth="1"/>
    <col min="21" max="22" width="30.25" style="70" bestFit="1" customWidth="1"/>
    <col min="23" max="23" width="9" style="70" customWidth="1" outlineLevel="1"/>
    <col min="24" max="24" width="13" style="70" customWidth="1" outlineLevel="1"/>
    <col min="25" max="25" width="11.5" style="70" customWidth="1" outlineLevel="1"/>
    <col min="26" max="26" width="11.25" style="70" customWidth="1" outlineLevel="1"/>
    <col min="27" max="27" width="24.25" style="70" customWidth="1" outlineLevel="1"/>
    <col min="28" max="28" width="5.375" style="70" customWidth="1" outlineLevel="1"/>
    <col min="29" max="29" width="55.375" style="70" customWidth="1"/>
    <col min="30" max="16384" width="9" style="70"/>
  </cols>
  <sheetData>
    <row r="1" spans="1:29" ht="17.25">
      <c r="C1" s="121" t="s">
        <v>3</v>
      </c>
      <c r="D1" s="121"/>
      <c r="E1" s="121"/>
      <c r="F1" s="121"/>
    </row>
    <row r="2" spans="1:29" ht="12" thickBot="1">
      <c r="C2" s="1"/>
      <c r="D2" s="1"/>
      <c r="G2" s="4" t="s">
        <v>8</v>
      </c>
    </row>
    <row r="3" spans="1:29" s="2" customFormat="1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16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29" s="2" customFormat="1" ht="12" thickBot="1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出席状況!$B$2</f>
        <v>558.6</v>
      </c>
      <c r="L4" s="70">
        <f>COUNTIF(L$9:L$53,"=3")</f>
        <v>16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29">
      <c r="G5" s="69" t="s">
        <v>24</v>
      </c>
      <c r="I5" s="3" t="s">
        <v>7</v>
      </c>
    </row>
    <row r="6" spans="1:29" ht="12" thickBot="1">
      <c r="E6" s="9"/>
      <c r="F6" s="9"/>
      <c r="I6" s="3"/>
    </row>
    <row r="7" spans="1:29" ht="12" thickBot="1">
      <c r="B7" s="70" t="s">
        <v>153</v>
      </c>
      <c r="J7" s="22" t="s">
        <v>14</v>
      </c>
      <c r="L7" s="70" t="s">
        <v>18</v>
      </c>
    </row>
    <row r="8" spans="1:29" ht="12" thickBot="1">
      <c r="A8" s="105" t="s">
        <v>11</v>
      </c>
      <c r="B8" s="106" t="s">
        <v>0</v>
      </c>
      <c r="C8" s="106" t="s">
        <v>1</v>
      </c>
      <c r="D8" s="106" t="s">
        <v>2</v>
      </c>
      <c r="E8" s="107" t="s">
        <v>384</v>
      </c>
      <c r="F8" s="108" t="s">
        <v>385</v>
      </c>
      <c r="G8" s="108" t="s">
        <v>386</v>
      </c>
      <c r="H8" s="109" t="s">
        <v>388</v>
      </c>
      <c r="I8" s="110" t="s">
        <v>13</v>
      </c>
      <c r="J8" s="111" t="s">
        <v>357</v>
      </c>
      <c r="K8" s="70" t="s">
        <v>358</v>
      </c>
      <c r="L8" s="70" t="s">
        <v>359</v>
      </c>
      <c r="M8" s="70" t="s">
        <v>360</v>
      </c>
      <c r="N8" s="70" t="s">
        <v>361</v>
      </c>
      <c r="O8" s="72" t="s">
        <v>22</v>
      </c>
      <c r="P8" s="70" t="s">
        <v>362</v>
      </c>
      <c r="Q8" s="70" t="s">
        <v>363</v>
      </c>
      <c r="R8" s="70" t="s">
        <v>364</v>
      </c>
      <c r="S8" s="70" t="s">
        <v>329</v>
      </c>
      <c r="T8" s="70" t="s">
        <v>365</v>
      </c>
      <c r="U8" s="70" t="s">
        <v>327</v>
      </c>
      <c r="V8" s="70" t="s">
        <v>328</v>
      </c>
      <c r="W8" s="70" t="s">
        <v>330</v>
      </c>
      <c r="X8" s="70" t="s">
        <v>331</v>
      </c>
      <c r="Y8" s="70" t="s">
        <v>332</v>
      </c>
      <c r="Z8" s="70" t="s">
        <v>333</v>
      </c>
      <c r="AA8" s="70" t="s">
        <v>334</v>
      </c>
      <c r="AB8" s="70" t="s">
        <v>335</v>
      </c>
      <c r="AC8" s="70" t="s">
        <v>336</v>
      </c>
    </row>
    <row r="9" spans="1:29">
      <c r="A9" s="100">
        <v>1</v>
      </c>
      <c r="B9" s="34">
        <v>18332</v>
      </c>
      <c r="C9" s="39" t="s">
        <v>27</v>
      </c>
      <c r="D9" s="39" t="s">
        <v>28</v>
      </c>
      <c r="E9" s="55">
        <v>0.80472188875550221</v>
      </c>
      <c r="F9" s="55">
        <v>0.79646697388632881</v>
      </c>
      <c r="G9" s="55">
        <v>0.79501488095238093</v>
      </c>
      <c r="H9" s="52">
        <f>1-(J9-IFERROR(VLOOKUP(B9,補講記録!$H$2:$J$12,3,FALSE),0))/$J$4</f>
        <v>0.79520229144289289</v>
      </c>
      <c r="I9" s="49" t="str">
        <f t="shared" ref="I9:I54" si="0">IF(G9&lt;H9,$I$3,IF(G9=H9,$I$4,$I$5))</f>
        <v>↑</v>
      </c>
      <c r="J9" s="25">
        <f>IF(B9="","",VLOOKUP(B9,出席状況!$A$1:$D$136,3,FALSE))</f>
        <v>114.4</v>
      </c>
      <c r="L9" s="74">
        <v>3</v>
      </c>
      <c r="M9" s="74"/>
      <c r="N9" s="74"/>
      <c r="O9" s="96"/>
      <c r="R9" s="81" t="str">
        <f t="shared" ref="R9:R44" si="1">IF(L9=3,"3年コース","2年コース")</f>
        <v>3年コース</v>
      </c>
      <c r="S9" s="34" t="s">
        <v>337</v>
      </c>
      <c r="T9" s="39">
        <f t="shared" ref="T9:V10" si="2">B9</f>
        <v>18332</v>
      </c>
      <c r="U9" s="39" t="str">
        <f t="shared" si="2"/>
        <v>PHAM THE HUNG</v>
      </c>
      <c r="V9" s="70" t="str">
        <f t="shared" si="2"/>
        <v>ファム　テ　フン</v>
      </c>
      <c r="W9" s="70" t="s">
        <v>339</v>
      </c>
      <c r="X9" s="97">
        <f t="shared" ref="X9:Y10" si="3">G9</f>
        <v>0.79501488095238093</v>
      </c>
      <c r="Y9" s="97">
        <f t="shared" si="3"/>
        <v>0.79520229144289289</v>
      </c>
      <c r="Z9" s="99"/>
      <c r="AB9" s="70" t="s">
        <v>352</v>
      </c>
      <c r="AC9" s="119" t="s">
        <v>353</v>
      </c>
    </row>
    <row r="10" spans="1:29">
      <c r="A10" s="101">
        <f>A9+1</f>
        <v>2</v>
      </c>
      <c r="B10" s="35">
        <v>18336</v>
      </c>
      <c r="C10" s="40" t="s">
        <v>29</v>
      </c>
      <c r="D10" s="40" t="s">
        <v>306</v>
      </c>
      <c r="E10" s="46">
        <v>0.72809123649459784</v>
      </c>
      <c r="F10" s="46">
        <v>0.73099078341013835</v>
      </c>
      <c r="G10" s="46">
        <v>0.73567708333333337</v>
      </c>
      <c r="H10" s="47">
        <f ca="1">1-(J10-IFERROR(VLOOKUP(B10,補講記録!$H$2:$J$12,3,FALSE),0))/$J$4</f>
        <v>0.7456140350877194</v>
      </c>
      <c r="I10" s="61" t="str">
        <f t="shared" ca="1" si="0"/>
        <v>↑</v>
      </c>
      <c r="J10" s="26">
        <f>IF(B10="","",VLOOKUP(B10,出席状況!$A$1:$D$136,3,FALSE))</f>
        <v>144.19999999999999</v>
      </c>
      <c r="L10" s="75">
        <v>3</v>
      </c>
      <c r="M10" s="75"/>
      <c r="N10" s="75"/>
      <c r="R10" s="81" t="str">
        <f t="shared" si="1"/>
        <v>3年コース</v>
      </c>
      <c r="S10" s="1" t="s">
        <v>337</v>
      </c>
      <c r="T10" s="70">
        <f t="shared" si="2"/>
        <v>18336</v>
      </c>
      <c r="U10" s="70" t="str">
        <f t="shared" si="2"/>
        <v>NGUYEN DONG DUY KIEN</v>
      </c>
      <c r="V10" s="70" t="str">
        <f t="shared" si="2"/>
        <v>グェン　ドン　ズゥイ　キエン</v>
      </c>
      <c r="W10" s="70" t="s">
        <v>339</v>
      </c>
      <c r="X10" s="97">
        <f t="shared" si="3"/>
        <v>0.73567708333333337</v>
      </c>
      <c r="Y10" s="97">
        <f t="shared" ca="1" si="3"/>
        <v>0.7456140350877194</v>
      </c>
      <c r="Z10" s="99">
        <v>44464</v>
      </c>
      <c r="AA10" s="70" t="s">
        <v>341</v>
      </c>
      <c r="AB10" s="70" t="s">
        <v>352</v>
      </c>
    </row>
    <row r="11" spans="1:29">
      <c r="A11" s="101">
        <f t="shared" ref="A11:A53" si="4">A10+1</f>
        <v>3</v>
      </c>
      <c r="B11" s="35">
        <v>18380</v>
      </c>
      <c r="C11" s="40" t="s">
        <v>30</v>
      </c>
      <c r="D11" s="40" t="s">
        <v>31</v>
      </c>
      <c r="E11" s="46">
        <v>0.93077230892356944</v>
      </c>
      <c r="F11" s="46">
        <v>0.90130568356374807</v>
      </c>
      <c r="G11" s="46">
        <v>0.89657738095238093</v>
      </c>
      <c r="H11" s="47">
        <f>1-(J11-IFERROR(VLOOKUP(B11,補講記録!$H$2:$J$12,3,FALSE),0))/$J$4</f>
        <v>0.90046544933762973</v>
      </c>
      <c r="I11" s="61" t="str">
        <f t="shared" si="0"/>
        <v>↑</v>
      </c>
      <c r="J11" s="26">
        <f>IF(B11="","",VLOOKUP(B11,出席状況!$A$1:$D$136,3,FALSE))</f>
        <v>55.600000000000009</v>
      </c>
      <c r="L11" s="75">
        <v>3</v>
      </c>
      <c r="M11" s="75"/>
      <c r="N11" s="75"/>
      <c r="R11" s="81" t="str">
        <f t="shared" si="1"/>
        <v>3年コース</v>
      </c>
    </row>
    <row r="12" spans="1:29">
      <c r="A12" s="101">
        <f t="shared" si="4"/>
        <v>4</v>
      </c>
      <c r="B12" s="35">
        <v>18392</v>
      </c>
      <c r="C12" s="40" t="s">
        <v>32</v>
      </c>
      <c r="D12" s="40" t="s">
        <v>33</v>
      </c>
      <c r="E12" s="46">
        <v>0.93317326930772304</v>
      </c>
      <c r="F12" s="46">
        <v>0.9320276497695853</v>
      </c>
      <c r="G12" s="46">
        <v>0.9341517857142857</v>
      </c>
      <c r="H12" s="47">
        <f>1-(J12-IFERROR(VLOOKUP(B12,補講記録!$H$2:$J$12,3,FALSE),0))/$J$4</f>
        <v>0.933046902971715</v>
      </c>
      <c r="I12" s="61" t="str">
        <f t="shared" si="0"/>
        <v>　　↓</v>
      </c>
      <c r="J12" s="26">
        <f>IF(B12="","",VLOOKUP(B12,出席状況!$A$1:$D$136,3,FALSE))</f>
        <v>37.400000000000006</v>
      </c>
      <c r="L12" s="75">
        <v>3</v>
      </c>
      <c r="M12" s="75"/>
      <c r="N12" s="75"/>
      <c r="R12" s="81" t="str">
        <f t="shared" si="1"/>
        <v>3年コース</v>
      </c>
    </row>
    <row r="13" spans="1:29">
      <c r="A13" s="102">
        <f t="shared" si="4"/>
        <v>5</v>
      </c>
      <c r="B13" s="36">
        <v>18437</v>
      </c>
      <c r="C13" s="41" t="s">
        <v>34</v>
      </c>
      <c r="D13" s="41" t="s">
        <v>307</v>
      </c>
      <c r="E13" s="56">
        <v>0.73549419767907165</v>
      </c>
      <c r="F13" s="56">
        <v>0.74615975422427039</v>
      </c>
      <c r="G13" s="56">
        <v>0.75409226190476186</v>
      </c>
      <c r="H13" s="53">
        <f>1-(J13-IFERROR(VLOOKUP(B13,補講記録!$H$2:$J$12,3,FALSE),0))/$J$4</f>
        <v>0.75581811672037236</v>
      </c>
      <c r="I13" s="62" t="str">
        <f t="shared" si="0"/>
        <v>↑</v>
      </c>
      <c r="J13" s="27">
        <f>IF(B13="","",VLOOKUP(B13,出席状況!$A$1:$D$136,3,FALSE))</f>
        <v>136.4</v>
      </c>
      <c r="L13" s="76">
        <v>3</v>
      </c>
      <c r="M13" s="76"/>
      <c r="N13" s="76"/>
      <c r="R13" s="81" t="str">
        <f t="shared" si="1"/>
        <v>3年コース</v>
      </c>
      <c r="S13" s="1" t="s">
        <v>337</v>
      </c>
      <c r="T13" s="70">
        <f t="shared" ref="T13:V16" si="5">B13</f>
        <v>18437</v>
      </c>
      <c r="U13" s="70" t="str">
        <f t="shared" si="5"/>
        <v>DO HOANH HOANG</v>
      </c>
      <c r="V13" s="70" t="str">
        <f t="shared" si="5"/>
        <v>ド　ホアン　ホアン　</v>
      </c>
      <c r="W13" s="70" t="s">
        <v>339</v>
      </c>
      <c r="X13" s="97">
        <f t="shared" ref="X13:Y16" si="6">G13</f>
        <v>0.75409226190476186</v>
      </c>
      <c r="Y13" s="97">
        <f t="shared" si="6"/>
        <v>0.75581811672037236</v>
      </c>
      <c r="Z13" s="99">
        <v>44086</v>
      </c>
      <c r="AA13" s="70" t="s">
        <v>342</v>
      </c>
      <c r="AB13" s="70" t="s">
        <v>352</v>
      </c>
    </row>
    <row r="14" spans="1:29">
      <c r="A14" s="103">
        <f t="shared" si="4"/>
        <v>6</v>
      </c>
      <c r="B14" s="37">
        <v>18440</v>
      </c>
      <c r="C14" s="42" t="s">
        <v>35</v>
      </c>
      <c r="D14" s="42" t="s">
        <v>36</v>
      </c>
      <c r="E14" s="57">
        <v>0.80672268907563027</v>
      </c>
      <c r="F14" s="57">
        <v>0.782258064516129</v>
      </c>
      <c r="G14" s="57">
        <v>0.7734375</v>
      </c>
      <c r="H14" s="54">
        <f>1-(J14-IFERROR(VLOOKUP(B14,補講記録!$H$2:$J$12,3,FALSE),0))/$J$4</f>
        <v>0.75187969924812026</v>
      </c>
      <c r="I14" s="51" t="str">
        <f t="shared" si="0"/>
        <v>　　↓</v>
      </c>
      <c r="J14" s="28">
        <f>IF(B14="","",VLOOKUP(B14,出席状況!$A$1:$D$136,3,FALSE))</f>
        <v>138.6</v>
      </c>
      <c r="L14" s="74">
        <v>3</v>
      </c>
      <c r="M14" s="74"/>
      <c r="N14" s="74"/>
      <c r="R14" s="81" t="str">
        <f t="shared" si="1"/>
        <v>3年コース</v>
      </c>
      <c r="S14" s="1" t="s">
        <v>338</v>
      </c>
      <c r="T14" s="70">
        <f t="shared" si="5"/>
        <v>18440</v>
      </c>
      <c r="U14" s="70" t="str">
        <f t="shared" si="5"/>
        <v>GURUNG FILINA</v>
      </c>
      <c r="V14" s="70" t="str">
        <f t="shared" si="5"/>
        <v>グルン　フィリナ　</v>
      </c>
      <c r="W14" s="70" t="s">
        <v>339</v>
      </c>
      <c r="X14" s="97">
        <f t="shared" si="6"/>
        <v>0.7734375</v>
      </c>
      <c r="Y14" s="97">
        <f t="shared" si="6"/>
        <v>0.75187969924812026</v>
      </c>
      <c r="Z14" s="99"/>
      <c r="AB14" s="70" t="s">
        <v>352</v>
      </c>
      <c r="AC14" s="119" t="s">
        <v>377</v>
      </c>
    </row>
    <row r="15" spans="1:29">
      <c r="A15" s="101">
        <f t="shared" si="4"/>
        <v>7</v>
      </c>
      <c r="B15" s="35">
        <v>18447</v>
      </c>
      <c r="C15" s="40" t="s">
        <v>37</v>
      </c>
      <c r="D15" s="40" t="s">
        <v>38</v>
      </c>
      <c r="E15" s="46">
        <v>0.5930372148859544</v>
      </c>
      <c r="F15" s="46">
        <v>0.58525345622119818</v>
      </c>
      <c r="G15" s="46">
        <v>0.57477678571428581</v>
      </c>
      <c r="H15" s="47">
        <f ca="1">1-(J15-IFERROR(VLOOKUP(B15,補講記録!$H$2:$J$12,3,FALSE),0))/$J$4</f>
        <v>0.57572502685284643</v>
      </c>
      <c r="I15" s="61" t="str">
        <f t="shared" ca="1" si="0"/>
        <v>↑</v>
      </c>
      <c r="J15" s="26">
        <f>IF(B15="","",VLOOKUP(B15,出席状況!$A$1:$D$136,3,FALSE))</f>
        <v>258</v>
      </c>
      <c r="L15" s="75">
        <v>3</v>
      </c>
      <c r="M15" s="75"/>
      <c r="N15" s="75"/>
      <c r="R15" s="80" t="str">
        <f t="shared" si="1"/>
        <v>3年コース</v>
      </c>
      <c r="S15" s="1" t="s">
        <v>337</v>
      </c>
      <c r="T15" s="70">
        <f t="shared" si="5"/>
        <v>18447</v>
      </c>
      <c r="U15" s="70" t="str">
        <f t="shared" si="5"/>
        <v>NGUYEN ANH TU</v>
      </c>
      <c r="V15" s="70" t="str">
        <f t="shared" si="5"/>
        <v>グェン　アン　トゥ</v>
      </c>
      <c r="W15" s="70" t="s">
        <v>339</v>
      </c>
      <c r="X15" s="97">
        <f t="shared" si="6"/>
        <v>0.57477678571428581</v>
      </c>
      <c r="Y15" s="97">
        <f t="shared" ca="1" si="6"/>
        <v>0.57572502685284643</v>
      </c>
      <c r="Z15" s="99">
        <v>44451</v>
      </c>
      <c r="AA15" s="70" t="s">
        <v>342</v>
      </c>
      <c r="AB15" s="70" t="s">
        <v>352</v>
      </c>
      <c r="AC15" s="119" t="s">
        <v>378</v>
      </c>
    </row>
    <row r="16" spans="1:29">
      <c r="A16" s="101">
        <f t="shared" si="4"/>
        <v>8</v>
      </c>
      <c r="B16" s="35">
        <v>18448</v>
      </c>
      <c r="C16" s="40" t="s">
        <v>39</v>
      </c>
      <c r="D16" s="40" t="s">
        <v>40</v>
      </c>
      <c r="E16" s="46">
        <v>0.71668667466986791</v>
      </c>
      <c r="F16" s="46">
        <v>0.72811059907834097</v>
      </c>
      <c r="G16" s="46">
        <v>0.73660714285714279</v>
      </c>
      <c r="H16" s="47">
        <f ca="1">1-(J16-IFERROR(VLOOKUP(B16,補講記録!$H$2:$J$12,3,FALSE),0))/$J$4</f>
        <v>0.73899033297529537</v>
      </c>
      <c r="I16" s="61" t="str">
        <f t="shared" ca="1" si="0"/>
        <v>↑</v>
      </c>
      <c r="J16" s="26">
        <f>IF(B16="","",VLOOKUP(B16,出席状況!$A$1:$D$136,3,FALSE))</f>
        <v>150</v>
      </c>
      <c r="L16" s="75">
        <v>3</v>
      </c>
      <c r="M16" s="75"/>
      <c r="N16" s="75"/>
      <c r="R16" s="81" t="str">
        <f t="shared" si="1"/>
        <v>3年コース</v>
      </c>
      <c r="S16" s="1" t="s">
        <v>337</v>
      </c>
      <c r="T16" s="70">
        <f t="shared" si="5"/>
        <v>18448</v>
      </c>
      <c r="U16" s="70" t="str">
        <f t="shared" si="5"/>
        <v>VU VAN TRUC</v>
      </c>
      <c r="V16" s="70" t="str">
        <f t="shared" si="5"/>
        <v>ヴー　ヴァン　チュック</v>
      </c>
      <c r="W16" s="70" t="s">
        <v>339</v>
      </c>
      <c r="X16" s="97">
        <f t="shared" si="6"/>
        <v>0.73660714285714279</v>
      </c>
      <c r="Y16" s="97">
        <f t="shared" ca="1" si="6"/>
        <v>0.73899033297529537</v>
      </c>
      <c r="Z16" s="99">
        <v>44086</v>
      </c>
      <c r="AA16" s="70" t="s">
        <v>342</v>
      </c>
      <c r="AB16" s="70" t="s">
        <v>352</v>
      </c>
    </row>
    <row r="17" spans="1:29">
      <c r="A17" s="101">
        <f t="shared" si="4"/>
        <v>9</v>
      </c>
      <c r="B17" s="35">
        <v>18450</v>
      </c>
      <c r="C17" s="40" t="s">
        <v>41</v>
      </c>
      <c r="D17" s="40" t="s">
        <v>42</v>
      </c>
      <c r="E17" s="46">
        <v>0.86554621848739499</v>
      </c>
      <c r="F17" s="46">
        <v>0.87096774193548387</v>
      </c>
      <c r="G17" s="46">
        <v>0.8671875</v>
      </c>
      <c r="H17" s="47">
        <f>1-(J17-IFERROR(VLOOKUP(B17,補講記録!$H$2:$J$12,3,FALSE),0))/$J$4</f>
        <v>0.8571428571428571</v>
      </c>
      <c r="I17" s="61" t="str">
        <f t="shared" si="0"/>
        <v>　　↓</v>
      </c>
      <c r="J17" s="26">
        <f>IF(B17="","",VLOOKUP(B17,出席状況!$A$1:$D$136,3,FALSE))</f>
        <v>79.800000000000011</v>
      </c>
      <c r="L17" s="75">
        <v>3</v>
      </c>
      <c r="M17" s="75"/>
      <c r="N17" s="75"/>
      <c r="R17" s="81" t="str">
        <f t="shared" si="1"/>
        <v>3年コース</v>
      </c>
    </row>
    <row r="18" spans="1:29">
      <c r="A18" s="102">
        <f t="shared" si="4"/>
        <v>10</v>
      </c>
      <c r="B18" s="36">
        <v>18496</v>
      </c>
      <c r="C18" s="41" t="s">
        <v>43</v>
      </c>
      <c r="D18" s="41" t="s">
        <v>308</v>
      </c>
      <c r="E18" s="56">
        <v>0.77691076430572226</v>
      </c>
      <c r="F18" s="56">
        <v>0.78014592933947779</v>
      </c>
      <c r="G18" s="56">
        <v>0.78515625</v>
      </c>
      <c r="H18" s="53">
        <f ca="1">1-(J18-IFERROR(VLOOKUP(B18,補講記録!$H$2:$J$12,3,FALSE),0))/$J$4</f>
        <v>0.79323308270676696</v>
      </c>
      <c r="I18" s="62" t="str">
        <f t="shared" ca="1" si="0"/>
        <v>↑</v>
      </c>
      <c r="J18" s="27">
        <f>IF(B18="","",VLOOKUP(B18,出席状況!$A$1:$D$136,3,FALSE))</f>
        <v>126</v>
      </c>
      <c r="L18" s="76">
        <v>3</v>
      </c>
      <c r="M18" s="76"/>
      <c r="N18" s="76"/>
      <c r="R18" s="81" t="str">
        <f t="shared" si="1"/>
        <v>3年コース</v>
      </c>
      <c r="S18" s="1" t="s">
        <v>337</v>
      </c>
      <c r="T18" s="70">
        <f t="shared" ref="T18:V18" si="7">B18</f>
        <v>18496</v>
      </c>
      <c r="U18" s="70" t="str">
        <f t="shared" si="7"/>
        <v>SUSITHA INDIKA PRIYANATH</v>
      </c>
      <c r="V18" s="70" t="str">
        <f t="shared" si="7"/>
        <v>スシタ　インディカ　プリヤナトウ</v>
      </c>
      <c r="W18" s="70" t="s">
        <v>339</v>
      </c>
      <c r="X18" s="97">
        <f t="shared" ref="X18:Y18" si="8">G18</f>
        <v>0.78515625</v>
      </c>
      <c r="Y18" s="97">
        <f t="shared" ca="1" si="8"/>
        <v>0.79323308270676696</v>
      </c>
      <c r="Z18" s="99">
        <v>44449</v>
      </c>
      <c r="AA18" s="70" t="s">
        <v>343</v>
      </c>
      <c r="AB18" s="70" t="s">
        <v>352</v>
      </c>
    </row>
    <row r="19" spans="1:29">
      <c r="A19" s="103">
        <f t="shared" si="4"/>
        <v>11</v>
      </c>
      <c r="B19" s="37">
        <v>18504</v>
      </c>
      <c r="C19" s="42" t="s">
        <v>44</v>
      </c>
      <c r="D19" s="42" t="s">
        <v>45</v>
      </c>
      <c r="E19" s="57">
        <v>0.86994797919167666</v>
      </c>
      <c r="F19" s="57">
        <v>0.83486943164362515</v>
      </c>
      <c r="G19" s="57">
        <v>0.84002976190476186</v>
      </c>
      <c r="H19" s="54">
        <f>1-(J19-IFERROR(VLOOKUP(B19,補講記録!$H$2:$J$12,3,FALSE),0))/$J$4</f>
        <v>0.83852488363766553</v>
      </c>
      <c r="I19" s="51" t="str">
        <f t="shared" si="0"/>
        <v>　　↓</v>
      </c>
      <c r="J19" s="28">
        <f>IF(B19="","",VLOOKUP(B19,出席状況!$A$1:$D$136,3,FALSE))</f>
        <v>90.200000000000017</v>
      </c>
      <c r="L19" s="74">
        <v>3</v>
      </c>
      <c r="M19" s="74"/>
      <c r="N19" s="74"/>
      <c r="R19" s="81" t="str">
        <f t="shared" si="1"/>
        <v>3年コース</v>
      </c>
    </row>
    <row r="20" spans="1:29" ht="13.5" customHeight="1">
      <c r="A20" s="101">
        <f t="shared" si="4"/>
        <v>12</v>
      </c>
      <c r="B20" s="35">
        <v>18506</v>
      </c>
      <c r="C20" s="40" t="s">
        <v>46</v>
      </c>
      <c r="D20" s="40" t="s">
        <v>309</v>
      </c>
      <c r="E20" s="46">
        <v>0.68097238895558221</v>
      </c>
      <c r="F20" s="46">
        <v>0.68577188940092171</v>
      </c>
      <c r="G20" s="46">
        <v>0.68777901785714279</v>
      </c>
      <c r="H20" s="47">
        <f ca="1">1-(J20-IFERROR(VLOOKUP(B20,補講記録!$H$2:$J$12,3,FALSE),0))/$J$4</f>
        <v>0.69593626924453988</v>
      </c>
      <c r="I20" s="61" t="str">
        <f t="shared" ca="1" si="0"/>
        <v>↑</v>
      </c>
      <c r="J20" s="26">
        <f>IF(B20="","",VLOOKUP(B20,出席状況!$A$1:$D$136,3,FALSE))</f>
        <v>185.60000000000002</v>
      </c>
      <c r="L20" s="75">
        <v>3</v>
      </c>
      <c r="M20" s="75"/>
      <c r="N20" s="75"/>
      <c r="R20" s="80" t="str">
        <f t="shared" si="1"/>
        <v>3年コース</v>
      </c>
      <c r="S20" s="1" t="s">
        <v>337</v>
      </c>
      <c r="T20" s="70">
        <f t="shared" ref="T20:V22" si="9">B20</f>
        <v>18506</v>
      </c>
      <c r="U20" s="70" t="str">
        <f t="shared" si="9"/>
        <v>HOANG ANH　DAI</v>
      </c>
      <c r="V20" s="70" t="str">
        <f t="shared" si="9"/>
        <v>ホアン　アン　ダイ</v>
      </c>
      <c r="W20" s="70" t="s">
        <v>339</v>
      </c>
      <c r="X20" s="97">
        <f t="shared" ref="X20:Y22" si="10">G20</f>
        <v>0.68777901785714279</v>
      </c>
      <c r="Y20" s="97">
        <f t="shared" ca="1" si="10"/>
        <v>0.69593626924453988</v>
      </c>
      <c r="Z20" s="99">
        <v>44086</v>
      </c>
      <c r="AA20" s="70" t="s">
        <v>342</v>
      </c>
      <c r="AB20" s="70" t="s">
        <v>352</v>
      </c>
    </row>
    <row r="21" spans="1:29" ht="13.5" customHeight="1">
      <c r="A21" s="101">
        <f t="shared" si="4"/>
        <v>13</v>
      </c>
      <c r="B21" s="35">
        <v>18521</v>
      </c>
      <c r="C21" s="40" t="s">
        <v>47</v>
      </c>
      <c r="D21" s="40" t="s">
        <v>48</v>
      </c>
      <c r="E21" s="46">
        <v>0.62625050020008</v>
      </c>
      <c r="F21" s="46">
        <v>0.62519201228878662</v>
      </c>
      <c r="G21" s="46">
        <v>0.63690476190476186</v>
      </c>
      <c r="H21" s="47">
        <f ca="1">1-(J21-IFERROR(VLOOKUP(B21,補講記録!$H$2:$J$12,3,FALSE),0))/$J$4</f>
        <v>0.64303616183315437</v>
      </c>
      <c r="I21" s="61" t="str">
        <f t="shared" ca="1" si="0"/>
        <v>↑</v>
      </c>
      <c r="J21" s="26">
        <f>IF(B21="","",VLOOKUP(B21,出席状況!$A$1:$D$136,3,FALSE))</f>
        <v>224.6</v>
      </c>
      <c r="L21" s="75">
        <v>3</v>
      </c>
      <c r="M21" s="75"/>
      <c r="N21" s="75"/>
      <c r="R21" s="81" t="str">
        <f t="shared" si="1"/>
        <v>3年コース</v>
      </c>
      <c r="S21" s="1" t="s">
        <v>337</v>
      </c>
      <c r="T21" s="70">
        <f t="shared" si="9"/>
        <v>18521</v>
      </c>
      <c r="U21" s="70" t="str">
        <f t="shared" si="9"/>
        <v>NGUYEN  DINH NAM　</v>
      </c>
      <c r="V21" s="70" t="str">
        <f t="shared" si="9"/>
        <v>グェン　ディン　ナム</v>
      </c>
      <c r="W21" s="70" t="s">
        <v>339</v>
      </c>
      <c r="X21" s="97">
        <f t="shared" si="10"/>
        <v>0.63690476190476186</v>
      </c>
      <c r="Y21" s="97">
        <f t="shared" ca="1" si="10"/>
        <v>0.64303616183315437</v>
      </c>
      <c r="Z21" s="99">
        <v>44438</v>
      </c>
      <c r="AA21" s="70" t="s">
        <v>344</v>
      </c>
      <c r="AB21" s="70" t="s">
        <v>352</v>
      </c>
    </row>
    <row r="22" spans="1:29" ht="13.5" customHeight="1">
      <c r="A22" s="101">
        <f t="shared" si="4"/>
        <v>14</v>
      </c>
      <c r="B22" s="35">
        <v>18582</v>
      </c>
      <c r="C22" s="40" t="s">
        <v>49</v>
      </c>
      <c r="D22" s="40" t="s">
        <v>50</v>
      </c>
      <c r="E22" s="46">
        <v>0.7374949979991996</v>
      </c>
      <c r="F22" s="46">
        <v>0.74001536098310294</v>
      </c>
      <c r="G22" s="46">
        <v>0.71688988095238093</v>
      </c>
      <c r="H22" s="47">
        <f ca="1">1-(J22-IFERROR(VLOOKUP(B22,補講記録!$H$2:$J$12,3,FALSE),0))/$J$4</f>
        <v>0.72753311851056213</v>
      </c>
      <c r="I22" s="61" t="str">
        <f t="shared" ca="1" si="0"/>
        <v>↑</v>
      </c>
      <c r="J22" s="26">
        <f>IF(B22="","",VLOOKUP(B22,出席状況!$A$1:$D$136,3,FALSE))</f>
        <v>164.8</v>
      </c>
      <c r="L22" s="75">
        <v>3</v>
      </c>
      <c r="M22" s="75"/>
      <c r="N22" s="75"/>
      <c r="R22" s="81" t="str">
        <f t="shared" si="1"/>
        <v>3年コース</v>
      </c>
      <c r="S22" s="1" t="s">
        <v>338</v>
      </c>
      <c r="T22" s="70">
        <f t="shared" si="9"/>
        <v>18582</v>
      </c>
      <c r="U22" s="70" t="str">
        <f t="shared" si="9"/>
        <v>DANG THI THANH NHAN</v>
      </c>
      <c r="V22" s="70" t="str">
        <f t="shared" si="9"/>
        <v>ダン　ティ　タン　ニャン</v>
      </c>
      <c r="W22" s="70" t="s">
        <v>339</v>
      </c>
      <c r="X22" s="97">
        <f t="shared" si="10"/>
        <v>0.71688988095238093</v>
      </c>
      <c r="Y22" s="97">
        <f t="shared" ca="1" si="10"/>
        <v>0.72753311851056213</v>
      </c>
      <c r="Z22" s="99">
        <v>44438</v>
      </c>
      <c r="AA22" s="70" t="s">
        <v>342</v>
      </c>
      <c r="AB22" s="70" t="s">
        <v>352</v>
      </c>
      <c r="AC22" s="119" t="s">
        <v>379</v>
      </c>
    </row>
    <row r="23" spans="1:29" ht="14.25" customHeight="1">
      <c r="A23" s="102">
        <f t="shared" si="4"/>
        <v>15</v>
      </c>
      <c r="B23" s="36">
        <v>18622</v>
      </c>
      <c r="C23" s="41" t="s">
        <v>51</v>
      </c>
      <c r="D23" s="41" t="s">
        <v>52</v>
      </c>
      <c r="E23" s="56">
        <v>0.8571428571428571</v>
      </c>
      <c r="F23" s="56">
        <v>0.86290322580645162</v>
      </c>
      <c r="G23" s="56">
        <v>0.86532738095238093</v>
      </c>
      <c r="H23" s="53">
        <f>1-(J23-IFERROR(VLOOKUP(B23,補講記録!$H$2:$J$12,3,FALSE),0))/$J$4</f>
        <v>0.87039026136770503</v>
      </c>
      <c r="I23" s="62" t="str">
        <f t="shared" si="0"/>
        <v>↑</v>
      </c>
      <c r="J23" s="27">
        <f>IF(B23="","",VLOOKUP(B23,出席状況!$A$1:$D$136,3,FALSE))</f>
        <v>72.400000000000006</v>
      </c>
      <c r="L23" s="76">
        <v>3</v>
      </c>
      <c r="M23" s="76"/>
      <c r="N23" s="76"/>
      <c r="R23" s="80" t="str">
        <f t="shared" si="1"/>
        <v>3年コース</v>
      </c>
    </row>
    <row r="24" spans="1:29">
      <c r="A24" s="103">
        <f t="shared" si="4"/>
        <v>16</v>
      </c>
      <c r="B24" s="37">
        <v>18623</v>
      </c>
      <c r="C24" s="42" t="s">
        <v>53</v>
      </c>
      <c r="D24" s="42" t="s">
        <v>54</v>
      </c>
      <c r="E24" s="57">
        <v>0.75270108043217276</v>
      </c>
      <c r="F24" s="57">
        <v>0.76267281105990781</v>
      </c>
      <c r="G24" s="57">
        <v>0.7544642857142857</v>
      </c>
      <c r="H24" s="54">
        <f>1-(J24-IFERROR(VLOOKUP(B24,補講記録!$H$2:$J$12,3,FALSE),0))/$J$4</f>
        <v>0.74865735767991404</v>
      </c>
      <c r="I24" s="51" t="str">
        <f t="shared" si="0"/>
        <v>　　↓</v>
      </c>
      <c r="J24" s="28">
        <f>IF(B24="","",VLOOKUP(B24,出席状況!$A$1:$D$136,3,FALSE))</f>
        <v>140.40000000000003</v>
      </c>
      <c r="L24" s="74">
        <v>3</v>
      </c>
      <c r="M24" s="74"/>
      <c r="N24" s="74"/>
      <c r="R24" s="80" t="str">
        <f t="shared" si="1"/>
        <v>3年コース</v>
      </c>
      <c r="S24" s="1" t="s">
        <v>337</v>
      </c>
      <c r="T24" s="70">
        <f t="shared" ref="T24:V24" si="11">B24</f>
        <v>18623</v>
      </c>
      <c r="U24" s="70" t="str">
        <f t="shared" si="11"/>
        <v>NGUYEN DUC QUY</v>
      </c>
      <c r="V24" s="70" t="str">
        <f t="shared" si="11"/>
        <v>グエン　ドゥック　クイ</v>
      </c>
      <c r="W24" s="70" t="s">
        <v>339</v>
      </c>
      <c r="X24" s="97">
        <f t="shared" ref="X24:Y24" si="12">G24</f>
        <v>0.7544642857142857</v>
      </c>
      <c r="Y24" s="97">
        <f t="shared" si="12"/>
        <v>0.74865735767991404</v>
      </c>
      <c r="Z24" s="99">
        <v>44348</v>
      </c>
      <c r="AA24" s="70" t="s">
        <v>345</v>
      </c>
      <c r="AB24" s="70" t="s">
        <v>352</v>
      </c>
      <c r="AC24" s="119"/>
    </row>
    <row r="25" spans="1:29" s="71" customFormat="1">
      <c r="A25" s="101">
        <f t="shared" si="4"/>
        <v>17</v>
      </c>
      <c r="B25" s="35"/>
      <c r="C25" s="40"/>
      <c r="D25" s="40"/>
      <c r="E25" s="46"/>
      <c r="F25" s="46"/>
      <c r="G25" s="46"/>
      <c r="H25" s="47"/>
      <c r="I25" s="61" t="str">
        <f t="shared" si="0"/>
        <v>　→</v>
      </c>
      <c r="J25" s="26" t="str">
        <f>IF(B25="","",VLOOKUP(B25,出席状況!$A$1:$D$136,3,FALSE))</f>
        <v/>
      </c>
      <c r="L25" s="75"/>
      <c r="M25" s="75"/>
      <c r="N25" s="75"/>
      <c r="O25" s="72"/>
      <c r="R25" s="81"/>
      <c r="Z25" s="70"/>
      <c r="AA25" s="70"/>
    </row>
    <row r="26" spans="1:29">
      <c r="A26" s="101">
        <f t="shared" si="4"/>
        <v>18</v>
      </c>
      <c r="B26" s="35"/>
      <c r="C26" s="40"/>
      <c r="D26" s="40"/>
      <c r="E26" s="46"/>
      <c r="F26" s="46"/>
      <c r="G26" s="46"/>
      <c r="H26" s="47"/>
      <c r="I26" s="61" t="str">
        <f t="shared" si="0"/>
        <v>　→</v>
      </c>
      <c r="J26" s="26" t="str">
        <f>IF(B26="","",VLOOKUP(B26,出席状況!$A$1:$D$136,3,FALSE))</f>
        <v/>
      </c>
      <c r="L26" s="75"/>
      <c r="M26" s="75"/>
      <c r="N26" s="75"/>
      <c r="R26" s="81"/>
    </row>
    <row r="27" spans="1:29">
      <c r="A27" s="101">
        <f t="shared" si="4"/>
        <v>19</v>
      </c>
      <c r="B27" s="35"/>
      <c r="C27" s="40"/>
      <c r="D27" s="40"/>
      <c r="E27" s="46"/>
      <c r="F27" s="46"/>
      <c r="G27" s="46"/>
      <c r="H27" s="47"/>
      <c r="I27" s="61" t="str">
        <f t="shared" si="0"/>
        <v>　→</v>
      </c>
      <c r="J27" s="26" t="str">
        <f>IF(B27="","",VLOOKUP(B27,出席状況!$A$1:$D$136,3,FALSE))</f>
        <v/>
      </c>
      <c r="L27" s="75"/>
      <c r="M27" s="75"/>
      <c r="N27" s="75"/>
      <c r="R27" s="80"/>
    </row>
    <row r="28" spans="1:29">
      <c r="A28" s="102">
        <f t="shared" si="4"/>
        <v>20</v>
      </c>
      <c r="B28" s="36"/>
      <c r="C28" s="41"/>
      <c r="D28" s="41"/>
      <c r="E28" s="56"/>
      <c r="F28" s="56"/>
      <c r="G28" s="56"/>
      <c r="H28" s="53"/>
      <c r="I28" s="62" t="str">
        <f t="shared" si="0"/>
        <v>　→</v>
      </c>
      <c r="J28" s="27" t="str">
        <f>IF(B28="","",VLOOKUP(B28,出席状況!$A$1:$D$136,3,FALSE))</f>
        <v/>
      </c>
      <c r="L28" s="76"/>
      <c r="M28" s="76"/>
      <c r="N28" s="76"/>
      <c r="R28" s="80"/>
    </row>
    <row r="29" spans="1:29">
      <c r="A29" s="103">
        <f t="shared" si="4"/>
        <v>21</v>
      </c>
      <c r="B29" s="37">
        <v>18309</v>
      </c>
      <c r="C29" s="42" t="s">
        <v>55</v>
      </c>
      <c r="D29" s="42" t="s">
        <v>56</v>
      </c>
      <c r="E29" s="57">
        <v>1</v>
      </c>
      <c r="F29" s="57">
        <v>1</v>
      </c>
      <c r="G29" s="57">
        <v>1</v>
      </c>
      <c r="H29" s="54">
        <f>1-(J29-IFERROR(VLOOKUP(B29,補講記録!$H$2:$J$12,3,FALSE),0))/$J$4</f>
        <v>1</v>
      </c>
      <c r="I29" s="51" t="str">
        <f t="shared" si="0"/>
        <v>　→</v>
      </c>
      <c r="J29" s="28">
        <f>IF(B29="","",VLOOKUP(B29,出席状況!$A$1:$D$136,3,FALSE))</f>
        <v>0</v>
      </c>
      <c r="L29" s="74">
        <v>2</v>
      </c>
      <c r="M29" s="74"/>
      <c r="N29" s="74"/>
      <c r="R29" s="80" t="str">
        <f t="shared" si="1"/>
        <v>2年コース</v>
      </c>
    </row>
    <row r="30" spans="1:29">
      <c r="A30" s="101">
        <f t="shared" si="4"/>
        <v>22</v>
      </c>
      <c r="B30" s="35">
        <v>18315</v>
      </c>
      <c r="C30" s="40" t="s">
        <v>57</v>
      </c>
      <c r="D30" s="40" t="s">
        <v>58</v>
      </c>
      <c r="E30" s="46">
        <v>0.92877150860344138</v>
      </c>
      <c r="F30" s="46">
        <v>0.93164362519201227</v>
      </c>
      <c r="G30" s="46">
        <v>0.93377976190476186</v>
      </c>
      <c r="H30" s="47">
        <f>1-(J30-IFERROR(VLOOKUP(B30,補講記録!$H$2:$J$12,3,FALSE),0))/$J$4</f>
        <v>0.93626924453992122</v>
      </c>
      <c r="I30" s="61" t="str">
        <f t="shared" si="0"/>
        <v>↑</v>
      </c>
      <c r="J30" s="26">
        <f>IF(B30="","",VLOOKUP(B30,出席状況!$A$1:$D$136,3,FALSE))</f>
        <v>35.6</v>
      </c>
      <c r="L30" s="75">
        <v>2</v>
      </c>
      <c r="M30" s="75"/>
      <c r="N30" s="75"/>
      <c r="R30" s="80" t="str">
        <f t="shared" si="1"/>
        <v>2年コース</v>
      </c>
    </row>
    <row r="31" spans="1:29">
      <c r="A31" s="101">
        <f t="shared" si="4"/>
        <v>23</v>
      </c>
      <c r="B31" s="35">
        <v>18323</v>
      </c>
      <c r="C31" s="40" t="s">
        <v>59</v>
      </c>
      <c r="D31" s="40" t="s">
        <v>60</v>
      </c>
      <c r="E31" s="46">
        <v>0.9667867146858744</v>
      </c>
      <c r="F31" s="46">
        <v>0.96812596006144391</v>
      </c>
      <c r="G31" s="46">
        <v>0.96912202380952384</v>
      </c>
      <c r="H31" s="47">
        <f>1-(J31-IFERROR(VLOOKUP(B31,補講記録!$H$2:$J$12,3,FALSE),0))/$J$4</f>
        <v>0.97028284998209813</v>
      </c>
      <c r="I31" s="61" t="str">
        <f t="shared" si="0"/>
        <v>↑</v>
      </c>
      <c r="J31" s="26">
        <f>IF(B31="","",VLOOKUP(B31,出席状況!$A$1:$D$136,3,FALSE))</f>
        <v>16.600000000000001</v>
      </c>
      <c r="L31" s="75">
        <v>2</v>
      </c>
      <c r="M31" s="75"/>
      <c r="N31" s="75"/>
      <c r="R31" s="80" t="str">
        <f t="shared" si="1"/>
        <v>2年コース</v>
      </c>
    </row>
    <row r="32" spans="1:29">
      <c r="A32" s="101">
        <f t="shared" si="4"/>
        <v>24</v>
      </c>
      <c r="B32" s="35">
        <v>18324</v>
      </c>
      <c r="C32" s="40" t="s">
        <v>61</v>
      </c>
      <c r="D32" s="40" t="s">
        <v>62</v>
      </c>
      <c r="E32" s="46">
        <v>0.99159663865546221</v>
      </c>
      <c r="F32" s="46">
        <v>1</v>
      </c>
      <c r="G32" s="46">
        <v>0.9921875</v>
      </c>
      <c r="H32" s="47">
        <f>1-(J32-IFERROR(VLOOKUP(B32,補講記録!$H$2:$J$12,3,FALSE),0))/$J$4</f>
        <v>0.99248120300751874</v>
      </c>
      <c r="I32" s="61" t="str">
        <f t="shared" si="0"/>
        <v>↑</v>
      </c>
      <c r="J32" s="26">
        <f>IF(B32="","",VLOOKUP(B32,出席状況!$A$1:$D$136,3,FALSE))</f>
        <v>4.2</v>
      </c>
      <c r="L32" s="75">
        <v>2</v>
      </c>
      <c r="M32" s="75"/>
      <c r="N32" s="75"/>
      <c r="R32" s="80" t="str">
        <f t="shared" si="1"/>
        <v>2年コース</v>
      </c>
    </row>
    <row r="33" spans="1:29">
      <c r="A33" s="102">
        <f t="shared" si="4"/>
        <v>25</v>
      </c>
      <c r="B33" s="36">
        <v>18352</v>
      </c>
      <c r="C33" s="41" t="s">
        <v>63</v>
      </c>
      <c r="D33" s="41" t="s">
        <v>64</v>
      </c>
      <c r="E33" s="56">
        <v>0.98759503801520609</v>
      </c>
      <c r="F33" s="56">
        <v>0.98809523809523814</v>
      </c>
      <c r="G33" s="56">
        <v>0.98846726190476186</v>
      </c>
      <c r="H33" s="53">
        <f>1-(J33-IFERROR(VLOOKUP(B33,補講記録!$H$2:$J$12,3,FALSE),0))/$J$4</f>
        <v>0.98890082348728969</v>
      </c>
      <c r="I33" s="62" t="str">
        <f t="shared" si="0"/>
        <v>↑</v>
      </c>
      <c r="J33" s="27">
        <f>IF(B33="","",VLOOKUP(B33,出席状況!$A$1:$D$136,3,FALSE))</f>
        <v>6.2</v>
      </c>
      <c r="L33" s="76">
        <v>2</v>
      </c>
      <c r="M33" s="76"/>
      <c r="N33" s="76"/>
      <c r="R33" s="80" t="str">
        <f t="shared" si="1"/>
        <v>2年コース</v>
      </c>
    </row>
    <row r="34" spans="1:29">
      <c r="A34" s="103">
        <f t="shared" si="4"/>
        <v>26</v>
      </c>
      <c r="B34" s="37">
        <v>18385</v>
      </c>
      <c r="C34" s="42" t="s">
        <v>65</v>
      </c>
      <c r="D34" s="42" t="s">
        <v>66</v>
      </c>
      <c r="E34" s="57">
        <v>0.94117647058823528</v>
      </c>
      <c r="F34" s="57">
        <v>0.94354838709677424</v>
      </c>
      <c r="G34" s="57">
        <v>0.9453125</v>
      </c>
      <c r="H34" s="54">
        <f>1-(J34-IFERROR(VLOOKUP(B34,補講記録!$H$2:$J$12,3,FALSE),0))/$J$4</f>
        <v>0.94736842105263153</v>
      </c>
      <c r="I34" s="51" t="str">
        <f t="shared" si="0"/>
        <v>↑</v>
      </c>
      <c r="J34" s="28">
        <f>IF(B34="","",VLOOKUP(B34,出席状況!$A$1:$D$136,3,FALSE))</f>
        <v>29.400000000000002</v>
      </c>
      <c r="L34" s="74">
        <v>2</v>
      </c>
      <c r="M34" s="74"/>
      <c r="N34" s="74"/>
      <c r="R34" s="80" t="str">
        <f t="shared" si="1"/>
        <v>2年コース</v>
      </c>
    </row>
    <row r="35" spans="1:29">
      <c r="A35" s="101">
        <f t="shared" si="4"/>
        <v>27</v>
      </c>
      <c r="B35" s="35">
        <v>18401</v>
      </c>
      <c r="C35" s="40" t="s">
        <v>67</v>
      </c>
      <c r="D35" s="40" t="s">
        <v>68</v>
      </c>
      <c r="E35" s="46" t="s">
        <v>301</v>
      </c>
      <c r="F35" s="46" t="s">
        <v>301</v>
      </c>
      <c r="G35" s="46" t="s">
        <v>301</v>
      </c>
      <c r="H35" s="47" t="s">
        <v>325</v>
      </c>
      <c r="I35" s="61" t="str">
        <f t="shared" si="0"/>
        <v>　→</v>
      </c>
      <c r="J35" s="26" t="s">
        <v>305</v>
      </c>
      <c r="L35" s="75">
        <v>2</v>
      </c>
      <c r="M35" s="75"/>
      <c r="N35" s="75"/>
      <c r="R35" s="80" t="str">
        <f t="shared" si="1"/>
        <v>2年コース</v>
      </c>
    </row>
    <row r="36" spans="1:29">
      <c r="A36" s="101">
        <f t="shared" si="4"/>
        <v>28</v>
      </c>
      <c r="B36" s="35">
        <v>18402</v>
      </c>
      <c r="C36" s="40" t="s">
        <v>69</v>
      </c>
      <c r="D36" s="40" t="s">
        <v>70</v>
      </c>
      <c r="E36" s="46">
        <v>1</v>
      </c>
      <c r="F36" s="46">
        <v>1</v>
      </c>
      <c r="G36" s="46">
        <v>1</v>
      </c>
      <c r="H36" s="47">
        <f>1-(J36-IFERROR(VLOOKUP(B36,補講記録!$H$2:$J$12,3,FALSE),0))/$J$4</f>
        <v>1</v>
      </c>
      <c r="I36" s="61" t="str">
        <f t="shared" si="0"/>
        <v>　→</v>
      </c>
      <c r="J36" s="26">
        <f>IF(B36="","",VLOOKUP(B36,出席状況!$A$1:$D$136,3,FALSE))</f>
        <v>0</v>
      </c>
      <c r="L36" s="75">
        <v>2</v>
      </c>
      <c r="M36" s="75"/>
      <c r="N36" s="75"/>
      <c r="R36" s="80" t="str">
        <f t="shared" si="1"/>
        <v>2年コース</v>
      </c>
    </row>
    <row r="37" spans="1:29">
      <c r="A37" s="101">
        <f t="shared" si="4"/>
        <v>29</v>
      </c>
      <c r="B37" s="35">
        <v>18408</v>
      </c>
      <c r="C37" s="40" t="s">
        <v>71</v>
      </c>
      <c r="D37" s="40" t="s">
        <v>72</v>
      </c>
      <c r="E37" s="46">
        <v>0.91836734693877553</v>
      </c>
      <c r="F37" s="46">
        <v>0.91359447004608296</v>
      </c>
      <c r="G37" s="46">
        <v>0.90848214285714279</v>
      </c>
      <c r="H37" s="47">
        <f>1-(J37-IFERROR(VLOOKUP(B37,補講記録!$H$2:$J$12,3,FALSE),0))/$J$4</f>
        <v>0.90440386680988183</v>
      </c>
      <c r="I37" s="61" t="str">
        <f t="shared" si="0"/>
        <v>　　↓</v>
      </c>
      <c r="J37" s="26">
        <f>IF(B37="","",VLOOKUP(B37,出席状況!$A$1:$D$136,3,FALSE))</f>
        <v>53.400000000000006</v>
      </c>
      <c r="L37" s="75">
        <v>2</v>
      </c>
      <c r="M37" s="75"/>
      <c r="N37" s="75"/>
      <c r="R37" s="80" t="str">
        <f t="shared" si="1"/>
        <v>2年コース</v>
      </c>
    </row>
    <row r="38" spans="1:29">
      <c r="A38" s="102">
        <f t="shared" si="4"/>
        <v>30</v>
      </c>
      <c r="B38" s="36">
        <v>18489</v>
      </c>
      <c r="C38" s="41" t="s">
        <v>73</v>
      </c>
      <c r="D38" s="41" t="s">
        <v>74</v>
      </c>
      <c r="E38" s="56">
        <v>0.90756302521008403</v>
      </c>
      <c r="F38" s="56">
        <v>0.90322580645161288</v>
      </c>
      <c r="G38" s="56">
        <v>0.90625</v>
      </c>
      <c r="H38" s="53">
        <f>1-(J38-IFERROR(VLOOKUP(B38,補講記録!$H$2:$J$12,3,FALSE),0))/$J$4</f>
        <v>0.90225563909774431</v>
      </c>
      <c r="I38" s="62" t="str">
        <f t="shared" si="0"/>
        <v>　　↓</v>
      </c>
      <c r="J38" s="27">
        <f>IF(B38="","",VLOOKUP(B38,出席状況!$A$1:$D$136,3,FALSE))</f>
        <v>54.600000000000009</v>
      </c>
      <c r="L38" s="76">
        <v>2</v>
      </c>
      <c r="M38" s="76"/>
      <c r="N38" s="76"/>
      <c r="R38" s="80" t="str">
        <f t="shared" si="1"/>
        <v>2年コース</v>
      </c>
    </row>
    <row r="39" spans="1:29">
      <c r="A39" s="103">
        <f t="shared" si="4"/>
        <v>31</v>
      </c>
      <c r="B39" s="37">
        <v>18493</v>
      </c>
      <c r="C39" s="42" t="s">
        <v>75</v>
      </c>
      <c r="D39" s="42" t="s">
        <v>76</v>
      </c>
      <c r="E39" s="57">
        <v>0.9327731092436975</v>
      </c>
      <c r="F39" s="57">
        <v>0.90322580645161288</v>
      </c>
      <c r="G39" s="57">
        <v>0.8984375</v>
      </c>
      <c r="H39" s="54">
        <f>1-(J39-IFERROR(VLOOKUP(B39,補講記録!$H$2:$J$12,3,FALSE),0))/$J$4</f>
        <v>0.90225563909774431</v>
      </c>
      <c r="I39" s="51" t="str">
        <f t="shared" ref="I39:I44" si="13">IF(G39&lt;H39,$I$3,IF(G39=H39,$I$4,$I$5))</f>
        <v>↑</v>
      </c>
      <c r="J39" s="28">
        <f>IF(B39="","",VLOOKUP(B39,出席状況!$A$1:$D$136,3,FALSE))</f>
        <v>54.600000000000009</v>
      </c>
      <c r="L39" s="74">
        <v>2</v>
      </c>
      <c r="M39" s="74"/>
      <c r="N39" s="74"/>
      <c r="R39" s="81" t="str">
        <f t="shared" si="1"/>
        <v>2年コース</v>
      </c>
    </row>
    <row r="40" spans="1:29" s="71" customFormat="1">
      <c r="A40" s="101">
        <f t="shared" si="4"/>
        <v>32</v>
      </c>
      <c r="B40" s="35">
        <v>18585</v>
      </c>
      <c r="C40" s="40" t="s">
        <v>77</v>
      </c>
      <c r="D40" s="40" t="s">
        <v>78</v>
      </c>
      <c r="E40" s="46">
        <v>0.89075630252100835</v>
      </c>
      <c r="F40" s="46">
        <v>0.86290322580645162</v>
      </c>
      <c r="G40" s="46">
        <v>0.8359375</v>
      </c>
      <c r="H40" s="47">
        <f>1-(J40-IFERROR(VLOOKUP(B40,補講記録!$H$2:$J$12,3,FALSE),0))/$J$4</f>
        <v>0.84210526315789469</v>
      </c>
      <c r="I40" s="61" t="str">
        <f t="shared" si="13"/>
        <v>↑</v>
      </c>
      <c r="J40" s="26">
        <f>IF(B40="","",VLOOKUP(B40,出席状況!$A$1:$D$136,3,FALSE))</f>
        <v>88.2</v>
      </c>
      <c r="L40" s="75">
        <v>2</v>
      </c>
      <c r="M40" s="75"/>
      <c r="N40" s="75"/>
      <c r="O40" s="72"/>
      <c r="R40" s="81" t="str">
        <f t="shared" si="1"/>
        <v>2年コース</v>
      </c>
      <c r="Z40" s="70"/>
      <c r="AA40" s="70"/>
    </row>
    <row r="41" spans="1:29">
      <c r="A41" s="101">
        <f t="shared" si="4"/>
        <v>33</v>
      </c>
      <c r="B41" s="35">
        <v>18586</v>
      </c>
      <c r="C41" s="40" t="s">
        <v>79</v>
      </c>
      <c r="D41" s="40" t="s">
        <v>80</v>
      </c>
      <c r="E41" s="46">
        <v>0.79600000000000004</v>
      </c>
      <c r="F41" s="46">
        <v>0.782258064516129</v>
      </c>
      <c r="G41" s="46">
        <v>0.7734375</v>
      </c>
      <c r="H41" s="47">
        <f>1-(J41-IFERROR(VLOOKUP(B41,補講記録!$H$2:$J$12,3,FALSE),0))/$J$4</f>
        <v>0.77443609022556392</v>
      </c>
      <c r="I41" s="61" t="str">
        <f t="shared" si="13"/>
        <v>↑</v>
      </c>
      <c r="J41" s="26">
        <f>IF(B41="","",VLOOKUP(B41,出席状況!$A$1:$D$136,3,FALSE))</f>
        <v>126</v>
      </c>
      <c r="L41" s="75">
        <v>2</v>
      </c>
      <c r="M41" s="75"/>
      <c r="N41" s="75"/>
      <c r="R41" s="80" t="str">
        <f t="shared" si="1"/>
        <v>2年コース</v>
      </c>
      <c r="S41" s="1" t="s">
        <v>338</v>
      </c>
      <c r="T41" s="70">
        <f t="shared" ref="T41:V41" si="14">B41</f>
        <v>18586</v>
      </c>
      <c r="U41" s="70" t="str">
        <f t="shared" si="14"/>
        <v>DO THI DUNG</v>
      </c>
      <c r="V41" s="70" t="str">
        <f t="shared" si="14"/>
        <v>ドー　ティ　ズン</v>
      </c>
      <c r="W41" s="70" t="s">
        <v>340</v>
      </c>
      <c r="X41" s="97">
        <f t="shared" ref="X41:Y41" si="15">G41</f>
        <v>0.7734375</v>
      </c>
      <c r="Y41" s="97">
        <f t="shared" si="15"/>
        <v>0.77443609022556392</v>
      </c>
      <c r="Z41" s="99"/>
      <c r="AB41" s="70" t="s">
        <v>352</v>
      </c>
      <c r="AC41" s="119" t="s">
        <v>380</v>
      </c>
    </row>
    <row r="42" spans="1:29">
      <c r="A42" s="101">
        <f t="shared" si="4"/>
        <v>34</v>
      </c>
      <c r="B42" s="35">
        <v>18587</v>
      </c>
      <c r="C42" s="40" t="s">
        <v>81</v>
      </c>
      <c r="D42" s="40" t="s">
        <v>82</v>
      </c>
      <c r="E42" s="46" t="s">
        <v>300</v>
      </c>
      <c r="F42" s="46" t="s">
        <v>300</v>
      </c>
      <c r="G42" s="46" t="s">
        <v>300</v>
      </c>
      <c r="H42" s="47" t="s">
        <v>326</v>
      </c>
      <c r="I42" s="61" t="str">
        <f t="shared" si="13"/>
        <v>　→</v>
      </c>
      <c r="J42" s="26" t="s">
        <v>300</v>
      </c>
      <c r="L42" s="75">
        <v>2</v>
      </c>
      <c r="M42" s="75"/>
      <c r="N42" s="75"/>
      <c r="R42" s="81" t="str">
        <f t="shared" si="1"/>
        <v>2年コース</v>
      </c>
    </row>
    <row r="43" spans="1:29">
      <c r="A43" s="102">
        <f t="shared" si="4"/>
        <v>35</v>
      </c>
      <c r="B43" s="36">
        <v>18594</v>
      </c>
      <c r="C43" s="41" t="s">
        <v>83</v>
      </c>
      <c r="D43" s="41" t="s">
        <v>84</v>
      </c>
      <c r="E43" s="56">
        <v>1</v>
      </c>
      <c r="F43" s="56">
        <v>1</v>
      </c>
      <c r="G43" s="56">
        <v>1</v>
      </c>
      <c r="H43" s="53">
        <f>1-(J43-IFERROR(VLOOKUP(B43,補講記録!$H$2:$J$12,3,FALSE),0))/$J$4</f>
        <v>1</v>
      </c>
      <c r="I43" s="62" t="str">
        <f t="shared" si="13"/>
        <v>　→</v>
      </c>
      <c r="J43" s="27">
        <f>IF(B43="","",VLOOKUP(B43,出席状況!$A$1:$D$136,3,FALSE))</f>
        <v>0</v>
      </c>
      <c r="L43" s="76">
        <v>2</v>
      </c>
      <c r="M43" s="76"/>
      <c r="N43" s="76"/>
      <c r="R43" s="80" t="str">
        <f t="shared" si="1"/>
        <v>2年コース</v>
      </c>
    </row>
    <row r="44" spans="1:29">
      <c r="A44" s="103">
        <f t="shared" si="4"/>
        <v>36</v>
      </c>
      <c r="B44" s="37">
        <v>17849</v>
      </c>
      <c r="C44" s="42" t="s">
        <v>85</v>
      </c>
      <c r="D44" s="42" t="s">
        <v>86</v>
      </c>
      <c r="E44" s="57">
        <v>0.68087234893957582</v>
      </c>
      <c r="F44" s="57">
        <v>0.69374039938556065</v>
      </c>
      <c r="G44" s="57">
        <v>0.68768601190476186</v>
      </c>
      <c r="H44" s="54">
        <f>1-(J44-IFERROR(VLOOKUP(B44,補講記録!$H$2:$J$12,3,FALSE),0))/$J$4</f>
        <v>0.67329036877909054</v>
      </c>
      <c r="I44" s="51" t="str">
        <f t="shared" si="13"/>
        <v>　　↓</v>
      </c>
      <c r="J44" s="28">
        <f>IF(B44="","",VLOOKUP(B44,出席状況!$A$1:$D$136,3,FALSE))</f>
        <v>184.6</v>
      </c>
      <c r="L44" s="74">
        <v>2</v>
      </c>
      <c r="M44" s="74"/>
      <c r="N44" s="74"/>
      <c r="R44" s="80" t="str">
        <f t="shared" si="1"/>
        <v>2年コース</v>
      </c>
      <c r="S44" s="1" t="s">
        <v>338</v>
      </c>
      <c r="T44" s="70">
        <f t="shared" ref="T44:V44" si="16">B44</f>
        <v>17849</v>
      </c>
      <c r="U44" s="70" t="str">
        <f t="shared" si="16"/>
        <v>DAO THI NGA</v>
      </c>
      <c r="V44" s="70" t="str">
        <f t="shared" si="16"/>
        <v>ダォ　ティ　ガ</v>
      </c>
      <c r="W44" s="70" t="s">
        <v>340</v>
      </c>
      <c r="X44" s="97">
        <f t="shared" ref="X44:Y44" si="17">G44</f>
        <v>0.68768601190476186</v>
      </c>
      <c r="Y44" s="97">
        <f t="shared" si="17"/>
        <v>0.67329036877909054</v>
      </c>
      <c r="Z44" s="99">
        <v>43623</v>
      </c>
      <c r="AA44" s="70" t="s">
        <v>346</v>
      </c>
      <c r="AB44" s="70" t="s">
        <v>352</v>
      </c>
      <c r="AC44" s="119" t="s">
        <v>381</v>
      </c>
    </row>
    <row r="45" spans="1:29">
      <c r="A45" s="101">
        <f t="shared" si="4"/>
        <v>37</v>
      </c>
      <c r="B45" s="35"/>
      <c r="C45" s="40"/>
      <c r="D45" s="40"/>
      <c r="E45" s="46"/>
      <c r="F45" s="46"/>
      <c r="G45" s="46"/>
      <c r="H45" s="47"/>
      <c r="I45" s="61"/>
      <c r="J45" s="26" t="str">
        <f>IF(B45="","",VLOOKUP(B45,出席状況!$A$1:$D$136,3,FALSE))</f>
        <v/>
      </c>
      <c r="L45" s="75"/>
      <c r="M45" s="75"/>
      <c r="N45" s="75"/>
      <c r="R45" s="80"/>
    </row>
    <row r="46" spans="1:29">
      <c r="A46" s="101">
        <f t="shared" si="4"/>
        <v>38</v>
      </c>
      <c r="B46" s="35"/>
      <c r="C46" s="40"/>
      <c r="D46" s="40"/>
      <c r="E46" s="46"/>
      <c r="F46" s="46"/>
      <c r="G46" s="46"/>
      <c r="H46" s="47"/>
      <c r="I46" s="61"/>
      <c r="J46" s="26" t="str">
        <f>IF(B46="","",VLOOKUP(B46,出席状況!$A$1:$D$136,3,FALSE))</f>
        <v/>
      </c>
      <c r="L46" s="75"/>
      <c r="M46" s="75"/>
      <c r="N46" s="75"/>
      <c r="R46" s="80"/>
    </row>
    <row r="47" spans="1:29">
      <c r="A47" s="101">
        <f t="shared" si="4"/>
        <v>39</v>
      </c>
      <c r="B47" s="35"/>
      <c r="C47" s="40"/>
      <c r="D47" s="40"/>
      <c r="E47" s="46"/>
      <c r="F47" s="46"/>
      <c r="G47" s="46"/>
      <c r="H47" s="47"/>
      <c r="I47" s="61"/>
      <c r="J47" s="26" t="str">
        <f>IF(B47="","",VLOOKUP(B47,出席状況!$A$1:$D$136,3,FALSE))</f>
        <v/>
      </c>
      <c r="L47" s="75"/>
      <c r="M47" s="75"/>
      <c r="N47" s="75"/>
      <c r="R47" s="80"/>
    </row>
    <row r="48" spans="1:29">
      <c r="A48" s="102">
        <f t="shared" si="4"/>
        <v>40</v>
      </c>
      <c r="B48" s="36"/>
      <c r="C48" s="41"/>
      <c r="D48" s="41"/>
      <c r="E48" s="56"/>
      <c r="F48" s="56"/>
      <c r="G48" s="56"/>
      <c r="H48" s="53"/>
      <c r="I48" s="62"/>
      <c r="J48" s="27" t="str">
        <f>IF(B48="","",VLOOKUP(B48,出席状況!$A$1:$D$136,3,FALSE))</f>
        <v/>
      </c>
      <c r="L48" s="76"/>
      <c r="M48" s="76"/>
      <c r="N48" s="76"/>
      <c r="R48" s="81"/>
    </row>
    <row r="49" spans="1:29">
      <c r="A49" s="103">
        <f t="shared" si="4"/>
        <v>41</v>
      </c>
      <c r="B49" s="37"/>
      <c r="C49" s="42"/>
      <c r="D49" s="42"/>
      <c r="E49" s="57"/>
      <c r="F49" s="57"/>
      <c r="G49" s="57"/>
      <c r="H49" s="54"/>
      <c r="I49" s="51"/>
      <c r="J49" s="28" t="str">
        <f>IF(B49="","",VLOOKUP(B49,出席状況!$A$1:$D$136,3,FALSE))</f>
        <v/>
      </c>
      <c r="L49" s="74"/>
      <c r="M49" s="74"/>
      <c r="N49" s="74"/>
    </row>
    <row r="50" spans="1:29">
      <c r="A50" s="101">
        <f t="shared" si="4"/>
        <v>42</v>
      </c>
      <c r="B50" s="35"/>
      <c r="C50" s="40"/>
      <c r="D50" s="40"/>
      <c r="E50" s="46"/>
      <c r="F50" s="46"/>
      <c r="G50" s="46"/>
      <c r="H50" s="47"/>
      <c r="I50" s="61"/>
      <c r="J50" s="26" t="str">
        <f>IF(B50="","",VLOOKUP(B50,出席状況!$A$1:$D$136,3,FALSE))</f>
        <v/>
      </c>
      <c r="L50" s="75"/>
      <c r="M50" s="75"/>
      <c r="N50" s="75"/>
    </row>
    <row r="51" spans="1:29">
      <c r="A51" s="101">
        <f t="shared" si="4"/>
        <v>43</v>
      </c>
      <c r="B51" s="35"/>
      <c r="C51" s="40"/>
      <c r="D51" s="40"/>
      <c r="E51" s="46"/>
      <c r="F51" s="46"/>
      <c r="G51" s="46"/>
      <c r="H51" s="47"/>
      <c r="I51" s="61"/>
      <c r="J51" s="26" t="str">
        <f>IF(B51="","",VLOOKUP(B51,出席状況!$A$1:$D$136,3,FALSE))</f>
        <v/>
      </c>
      <c r="L51" s="75"/>
      <c r="M51" s="75"/>
      <c r="N51" s="75"/>
    </row>
    <row r="52" spans="1:29">
      <c r="A52" s="101">
        <f t="shared" si="4"/>
        <v>44</v>
      </c>
      <c r="B52" s="35"/>
      <c r="C52" s="40"/>
      <c r="D52" s="40"/>
      <c r="E52" s="46"/>
      <c r="F52" s="46"/>
      <c r="G52" s="46"/>
      <c r="H52" s="47"/>
      <c r="I52" s="61"/>
      <c r="J52" s="26" t="str">
        <f>IF(B52="","",VLOOKUP(B52,出席状況!$A$1:$D$136,3,FALSE))</f>
        <v/>
      </c>
      <c r="L52" s="75"/>
      <c r="M52" s="75"/>
      <c r="N52" s="75"/>
    </row>
    <row r="53" spans="1:29" ht="12" thickBot="1">
      <c r="A53" s="104">
        <f t="shared" si="4"/>
        <v>45</v>
      </c>
      <c r="B53" s="38"/>
      <c r="C53" s="43"/>
      <c r="D53" s="43"/>
      <c r="E53" s="58"/>
      <c r="F53" s="58"/>
      <c r="G53" s="58"/>
      <c r="H53" s="59"/>
      <c r="I53" s="63"/>
      <c r="J53" s="29" t="str">
        <f>IF(B53="","",VLOOKUP(B53,出席状況!$A$1:$D$136,3,FALSE))</f>
        <v/>
      </c>
      <c r="L53" s="76"/>
      <c r="M53" s="76"/>
      <c r="N53" s="76"/>
    </row>
    <row r="54" spans="1:29" ht="12" thickBot="1">
      <c r="D54" s="45" t="s">
        <v>12</v>
      </c>
      <c r="E54" s="33">
        <f>AVERAGE(E9:E53)</f>
        <v>0.84526415899693208</v>
      </c>
      <c r="F54" s="33">
        <f>AVERAGE(F9:F53)</f>
        <v>0.84184907834101386</v>
      </c>
      <c r="G54" s="33">
        <f>AVERAGE(G9:G53)</f>
        <v>0.83977244543650786</v>
      </c>
      <c r="H54" s="33">
        <f ca="1">AVERAGE(H9:H53)</f>
        <v>0.8401748418665711</v>
      </c>
      <c r="I54" s="13" t="str">
        <f t="shared" ca="1" si="0"/>
        <v>↑</v>
      </c>
      <c r="AC54" s="119"/>
    </row>
    <row r="55" spans="1:29" ht="12" thickBot="1">
      <c r="E55" s="6"/>
      <c r="F55" s="6"/>
      <c r="G55" s="6"/>
      <c r="H55" s="6"/>
      <c r="AC55" s="119"/>
    </row>
    <row r="56" spans="1:29" ht="12" thickBot="1">
      <c r="B56" s="70" t="s">
        <v>154</v>
      </c>
      <c r="E56" s="6"/>
      <c r="F56" s="6"/>
      <c r="G56" s="6"/>
      <c r="H56" s="6"/>
      <c r="J56" s="22" t="s">
        <v>14</v>
      </c>
      <c r="L56" s="70" t="s">
        <v>18</v>
      </c>
      <c r="R56" s="70">
        <f>1-(J61+16.8)/J4</f>
        <v>0.72789115646258506</v>
      </c>
      <c r="AC56" s="119"/>
    </row>
    <row r="57" spans="1:29" ht="12" thickBot="1">
      <c r="A57" s="112" t="s">
        <v>11</v>
      </c>
      <c r="B57" s="113" t="s">
        <v>0</v>
      </c>
      <c r="C57" s="113" t="s">
        <v>1</v>
      </c>
      <c r="D57" s="113" t="s">
        <v>2</v>
      </c>
      <c r="E57" s="114" t="s">
        <v>354</v>
      </c>
      <c r="F57" s="114" t="s">
        <v>355</v>
      </c>
      <c r="G57" s="115" t="s">
        <v>356</v>
      </c>
      <c r="H57" s="116" t="s">
        <v>387</v>
      </c>
      <c r="I57" s="117" t="s">
        <v>13</v>
      </c>
      <c r="J57" s="111" t="s">
        <v>357</v>
      </c>
      <c r="K57" s="118" t="s">
        <v>358</v>
      </c>
      <c r="L57" s="118" t="s">
        <v>359</v>
      </c>
      <c r="M57" s="118" t="s">
        <v>360</v>
      </c>
      <c r="N57" s="118" t="s">
        <v>361</v>
      </c>
      <c r="O57" s="72" t="s">
        <v>23</v>
      </c>
      <c r="P57" s="118" t="s">
        <v>362</v>
      </c>
      <c r="Q57" s="118" t="s">
        <v>363</v>
      </c>
      <c r="R57" s="118" t="s">
        <v>364</v>
      </c>
      <c r="S57" s="118" t="s">
        <v>366</v>
      </c>
      <c r="T57" s="118" t="s">
        <v>367</v>
      </c>
      <c r="U57" s="118" t="s">
        <v>368</v>
      </c>
      <c r="V57" s="118" t="s">
        <v>369</v>
      </c>
      <c r="W57" s="118" t="s">
        <v>370</v>
      </c>
      <c r="X57" s="118" t="s">
        <v>371</v>
      </c>
      <c r="Y57" s="118" t="s">
        <v>372</v>
      </c>
      <c r="Z57" s="118" t="s">
        <v>373</v>
      </c>
      <c r="AA57" s="118" t="s">
        <v>374</v>
      </c>
      <c r="AB57" s="118" t="s">
        <v>375</v>
      </c>
      <c r="AC57" s="119" t="s">
        <v>376</v>
      </c>
    </row>
    <row r="58" spans="1:29">
      <c r="A58" s="100">
        <v>1</v>
      </c>
      <c r="B58" s="34">
        <v>18306</v>
      </c>
      <c r="C58" s="39" t="s">
        <v>87</v>
      </c>
      <c r="D58" s="39" t="s">
        <v>88</v>
      </c>
      <c r="E58" s="55">
        <v>1</v>
      </c>
      <c r="F58" s="55">
        <v>1</v>
      </c>
      <c r="G58" s="55">
        <v>1</v>
      </c>
      <c r="H58" s="52">
        <f>1-(J58-IFERROR(VLOOKUP(B58,補講記録!$H$2:$J$12,3,FALSE),0))/$J$4</f>
        <v>1</v>
      </c>
      <c r="I58" s="49" t="str">
        <f t="shared" ref="I58:I103" si="18">IF(G58&lt;H58,$I$3,IF(G58=H58,$I$4,$I$5))</f>
        <v>　→</v>
      </c>
      <c r="J58" s="25">
        <f>IF(B58="","",VLOOKUP(B58,出席状況!$A$1:$D$136,3,FALSE))</f>
        <v>0</v>
      </c>
      <c r="K58" s="71"/>
      <c r="L58" s="74">
        <v>3</v>
      </c>
      <c r="M58" s="74"/>
      <c r="N58" s="74"/>
      <c r="R58" s="79" t="s">
        <v>25</v>
      </c>
    </row>
    <row r="59" spans="1:29" s="71" customFormat="1">
      <c r="A59" s="101">
        <f>A58+1</f>
        <v>2</v>
      </c>
      <c r="B59" s="35">
        <v>18311</v>
      </c>
      <c r="C59" s="40" t="s">
        <v>89</v>
      </c>
      <c r="D59" s="40" t="s">
        <v>90</v>
      </c>
      <c r="E59" s="46">
        <v>0.99159663865546221</v>
      </c>
      <c r="F59" s="46">
        <v>0.99193548387096775</v>
      </c>
      <c r="G59" s="46">
        <v>0.9921875</v>
      </c>
      <c r="H59" s="47">
        <f>1-(J59-IFERROR(VLOOKUP(B59,補講記録!$H$2:$J$12,3,FALSE),0))/$J$4</f>
        <v>0.99248120300751874</v>
      </c>
      <c r="I59" s="44" t="str">
        <f t="shared" si="18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79" t="s">
        <v>25</v>
      </c>
      <c r="Z59" s="70"/>
      <c r="AA59" s="70"/>
    </row>
    <row r="60" spans="1:29" s="71" customFormat="1">
      <c r="A60" s="101">
        <f t="shared" ref="A60:A102" si="19">A59+1</f>
        <v>3</v>
      </c>
      <c r="B60" s="35">
        <v>18312</v>
      </c>
      <c r="C60" s="40" t="s">
        <v>91</v>
      </c>
      <c r="D60" s="40" t="s">
        <v>92</v>
      </c>
      <c r="E60" s="46">
        <v>0.90156062424969985</v>
      </c>
      <c r="F60" s="46">
        <v>0.90552995391705071</v>
      </c>
      <c r="G60" s="46">
        <v>0.90848214285714279</v>
      </c>
      <c r="H60" s="47">
        <f>1-(J60-IFERROR(VLOOKUP(B60,補講記録!$H$2:$J$12,3,FALSE),0))/$J$4</f>
        <v>0.91192266380236309</v>
      </c>
      <c r="I60" s="44" t="str">
        <f t="shared" si="18"/>
        <v>↑</v>
      </c>
      <c r="J60" s="26">
        <f>IF(B60="","",VLOOKUP(B60,出席状況!$A$1:$D$136,3,FALSE))</f>
        <v>49.2</v>
      </c>
      <c r="L60" s="75">
        <v>3</v>
      </c>
      <c r="M60" s="75"/>
      <c r="N60" s="75"/>
      <c r="O60" s="73"/>
      <c r="R60" s="79" t="s">
        <v>25</v>
      </c>
      <c r="Z60" s="70"/>
      <c r="AA60" s="70"/>
    </row>
    <row r="61" spans="1:29" s="71" customFormat="1">
      <c r="A61" s="101">
        <f t="shared" si="19"/>
        <v>4</v>
      </c>
      <c r="B61" s="35">
        <v>18319</v>
      </c>
      <c r="C61" s="40" t="s">
        <v>93</v>
      </c>
      <c r="D61" s="40" t="s">
        <v>94</v>
      </c>
      <c r="E61" s="46">
        <v>0.73989595838335331</v>
      </c>
      <c r="F61" s="46">
        <v>0.75038402457757303</v>
      </c>
      <c r="G61" s="46">
        <v>0.75632440476190477</v>
      </c>
      <c r="H61" s="47">
        <f>1-(J61-IFERROR(VLOOKUP(B61,補講記録!$H$2:$J$12,3,FALSE),0))/$J$4</f>
        <v>0.75796634443250988</v>
      </c>
      <c r="I61" s="44" t="str">
        <f t="shared" si="18"/>
        <v>↑</v>
      </c>
      <c r="J61" s="26">
        <f>IF(B61="","",VLOOKUP(B61,出席状況!$A$1:$D$136,3,FALSE))</f>
        <v>135.19999999999999</v>
      </c>
      <c r="L61" s="75">
        <v>3</v>
      </c>
      <c r="M61" s="75"/>
      <c r="N61" s="75"/>
      <c r="O61" s="73"/>
      <c r="R61" s="79" t="s">
        <v>25</v>
      </c>
      <c r="S61" s="6" t="s">
        <v>337</v>
      </c>
      <c r="T61" s="71">
        <f t="shared" ref="T61:V61" si="20">B61</f>
        <v>18319</v>
      </c>
      <c r="U61" s="71" t="str">
        <f t="shared" si="20"/>
        <v>NGUYEN VAN DUC</v>
      </c>
      <c r="V61" s="71" t="str">
        <f t="shared" si="20"/>
        <v>グェン　ヴァン　ドゥック</v>
      </c>
      <c r="W61" s="71" t="s">
        <v>339</v>
      </c>
      <c r="X61" s="98">
        <f t="shared" ref="X61:Y61" si="21">G61</f>
        <v>0.75632440476190477</v>
      </c>
      <c r="Y61" s="98">
        <f t="shared" si="21"/>
        <v>0.75796634443250988</v>
      </c>
      <c r="Z61" s="99">
        <v>44071</v>
      </c>
      <c r="AA61" s="70" t="s">
        <v>347</v>
      </c>
      <c r="AB61" s="71" t="s">
        <v>352</v>
      </c>
      <c r="AC61" s="120"/>
    </row>
    <row r="62" spans="1:29" s="71" customFormat="1">
      <c r="A62" s="102">
        <f t="shared" si="19"/>
        <v>5</v>
      </c>
      <c r="B62" s="36">
        <v>18330</v>
      </c>
      <c r="C62" s="41" t="s">
        <v>95</v>
      </c>
      <c r="D62" s="41" t="s">
        <v>96</v>
      </c>
      <c r="E62" s="56">
        <v>0.94117647058823528</v>
      </c>
      <c r="F62" s="56">
        <v>0.94354838709677424</v>
      </c>
      <c r="G62" s="56">
        <v>0.9453125</v>
      </c>
      <c r="H62" s="53">
        <f>1-(J62-IFERROR(VLOOKUP(B62,補講記録!$H$2:$J$12,3,FALSE),0))/$J$4</f>
        <v>0.93984962406015038</v>
      </c>
      <c r="I62" s="50" t="str">
        <f t="shared" si="18"/>
        <v>　　↓</v>
      </c>
      <c r="J62" s="27">
        <f>IF(B62="","",VLOOKUP(B62,出席状況!$A$1:$D$136,3,FALSE))</f>
        <v>33.6</v>
      </c>
      <c r="L62" s="76">
        <v>3</v>
      </c>
      <c r="M62" s="76"/>
      <c r="N62" s="76"/>
      <c r="O62" s="72"/>
      <c r="R62" s="78" t="s">
        <v>26</v>
      </c>
      <c r="Z62" s="70"/>
      <c r="AA62" s="70"/>
    </row>
    <row r="63" spans="1:29" s="71" customFormat="1">
      <c r="A63" s="103">
        <f t="shared" si="19"/>
        <v>6</v>
      </c>
      <c r="B63" s="37">
        <v>18345</v>
      </c>
      <c r="C63" s="42" t="s">
        <v>97</v>
      </c>
      <c r="D63" s="42" t="s">
        <v>98</v>
      </c>
      <c r="E63" s="57">
        <v>0.79431772709083637</v>
      </c>
      <c r="F63" s="57">
        <v>0.80261136712749614</v>
      </c>
      <c r="G63" s="57">
        <v>0.80877976190476186</v>
      </c>
      <c r="H63" s="54">
        <f>1-(J63-IFERROR(VLOOKUP(B63,補講記録!$H$2:$J$12,3,FALSE),0))/$J$4</f>
        <v>0.80844969566774072</v>
      </c>
      <c r="I63" s="21" t="str">
        <f t="shared" si="18"/>
        <v>　　↓</v>
      </c>
      <c r="J63" s="28">
        <f>IF(B63="","",VLOOKUP(B63,出席状況!$A$1:$D$136,3,FALSE))</f>
        <v>107</v>
      </c>
      <c r="L63" s="74">
        <v>3</v>
      </c>
      <c r="M63" s="74"/>
      <c r="N63" s="74"/>
      <c r="O63" s="73"/>
      <c r="R63" s="78" t="s">
        <v>26</v>
      </c>
      <c r="Z63" s="70"/>
      <c r="AA63" s="70"/>
    </row>
    <row r="64" spans="1:29">
      <c r="A64" s="101">
        <f t="shared" si="19"/>
        <v>7</v>
      </c>
      <c r="B64" s="35">
        <v>18347</v>
      </c>
      <c r="C64" s="40" t="s">
        <v>99</v>
      </c>
      <c r="D64" s="40" t="s">
        <v>100</v>
      </c>
      <c r="E64" s="46">
        <v>0.72108843537414957</v>
      </c>
      <c r="F64" s="46">
        <v>0.72427035330261136</v>
      </c>
      <c r="G64" s="46">
        <v>0.73288690476190466</v>
      </c>
      <c r="H64" s="47">
        <f>1-(J64-IFERROR(VLOOKUP(B64,補講記録!$H$2:$J$12,3,FALSE),0))/$J$4</f>
        <v>0.73540995345506621</v>
      </c>
      <c r="I64" s="44" t="str">
        <f t="shared" si="18"/>
        <v>↑</v>
      </c>
      <c r="J64" s="26">
        <f>IF(B64="","",VLOOKUP(B64,出席状況!$A$1:$D$136,3,FALSE))</f>
        <v>147.80000000000001</v>
      </c>
      <c r="K64" s="71"/>
      <c r="L64" s="75">
        <v>3</v>
      </c>
      <c r="M64" s="75"/>
      <c r="N64" s="75"/>
      <c r="R64" s="79" t="s">
        <v>25</v>
      </c>
      <c r="S64" s="1" t="s">
        <v>337</v>
      </c>
      <c r="T64" s="70">
        <f t="shared" ref="T64:V64" si="22">B64</f>
        <v>18347</v>
      </c>
      <c r="U64" s="70" t="str">
        <f t="shared" si="22"/>
        <v>VU TRONG HUAN</v>
      </c>
      <c r="V64" s="70" t="str">
        <f t="shared" si="22"/>
        <v>ブ　チョン　ファン</v>
      </c>
      <c r="W64" s="70" t="s">
        <v>339</v>
      </c>
      <c r="X64" s="97">
        <f t="shared" ref="X64:Y64" si="23">G64</f>
        <v>0.73288690476190466</v>
      </c>
      <c r="Y64" s="97">
        <f t="shared" si="23"/>
        <v>0.73540995345506621</v>
      </c>
      <c r="Z64" s="99">
        <v>44438</v>
      </c>
      <c r="AA64" s="70" t="s">
        <v>348</v>
      </c>
      <c r="AB64" s="70" t="s">
        <v>352</v>
      </c>
      <c r="AC64" s="119"/>
    </row>
    <row r="65" spans="1:29">
      <c r="A65" s="101">
        <f t="shared" si="19"/>
        <v>8</v>
      </c>
      <c r="B65" s="35">
        <v>18351</v>
      </c>
      <c r="C65" s="40" t="s">
        <v>101</v>
      </c>
      <c r="D65" s="40" t="s">
        <v>102</v>
      </c>
      <c r="E65" s="46">
        <v>0.86994797919167666</v>
      </c>
      <c r="F65" s="46">
        <v>0.87519201228878651</v>
      </c>
      <c r="G65" s="46">
        <v>0.87127976190476186</v>
      </c>
      <c r="H65" s="47">
        <f>1-(J65-IFERROR(VLOOKUP(B65,補講記録!$H$2:$J$12,3,FALSE),0))/$J$4</f>
        <v>0.86108127461510919</v>
      </c>
      <c r="I65" s="44" t="str">
        <f t="shared" si="18"/>
        <v>　　↓</v>
      </c>
      <c r="J65" s="26">
        <f>IF(B65="","",VLOOKUP(B65,出席状況!$A$1:$D$136,3,FALSE))</f>
        <v>77.599999999999994</v>
      </c>
      <c r="K65" s="71"/>
      <c r="L65" s="75">
        <v>3</v>
      </c>
      <c r="M65" s="75"/>
      <c r="N65" s="75"/>
      <c r="R65" s="78" t="s">
        <v>26</v>
      </c>
    </row>
    <row r="66" spans="1:29">
      <c r="A66" s="101">
        <f t="shared" si="19"/>
        <v>9</v>
      </c>
      <c r="B66" s="35">
        <v>18354</v>
      </c>
      <c r="C66" s="40" t="s">
        <v>103</v>
      </c>
      <c r="D66" s="40" t="s">
        <v>104</v>
      </c>
      <c r="E66" s="46">
        <v>0.92476990796318526</v>
      </c>
      <c r="F66" s="46">
        <v>0.91973886328725041</v>
      </c>
      <c r="G66" s="46">
        <v>0.92224702380952384</v>
      </c>
      <c r="H66" s="47">
        <f>1-(J66-IFERROR(VLOOKUP(B66,補講記録!$H$2:$J$12,3,FALSE),0))/$J$4</f>
        <v>0.92517006802721091</v>
      </c>
      <c r="I66" s="44" t="str">
        <f t="shared" si="18"/>
        <v>↑</v>
      </c>
      <c r="J66" s="26">
        <f>IF(B66="","",VLOOKUP(B66,出席状況!$A$1:$D$136,3,FALSE))</f>
        <v>41.8</v>
      </c>
      <c r="K66" s="71"/>
      <c r="L66" s="75">
        <v>3</v>
      </c>
      <c r="M66" s="75"/>
      <c r="N66" s="75"/>
      <c r="R66" s="79" t="s">
        <v>25</v>
      </c>
    </row>
    <row r="67" spans="1:29">
      <c r="A67" s="102">
        <f t="shared" si="19"/>
        <v>10</v>
      </c>
      <c r="B67" s="36">
        <v>18360</v>
      </c>
      <c r="C67" s="41" t="s">
        <v>105</v>
      </c>
      <c r="D67" s="41" t="s">
        <v>106</v>
      </c>
      <c r="E67" s="56">
        <v>0.82993197278911568</v>
      </c>
      <c r="F67" s="56">
        <v>0.82872503840245781</v>
      </c>
      <c r="G67" s="56">
        <v>0.83407738095238093</v>
      </c>
      <c r="H67" s="53">
        <f>1-(J67-IFERROR(VLOOKUP(B67,補講記録!$H$2:$J$12,3,FALSE),0))/$J$4</f>
        <v>0.84031507339778022</v>
      </c>
      <c r="I67" s="50" t="str">
        <f t="shared" si="18"/>
        <v>↑</v>
      </c>
      <c r="J67" s="27">
        <f>IF(B67="","",VLOOKUP(B67,出席状況!$A$1:$D$136,3,FALSE))</f>
        <v>89.2</v>
      </c>
      <c r="K67" s="71"/>
      <c r="L67" s="76">
        <v>3</v>
      </c>
      <c r="M67" s="76"/>
      <c r="N67" s="76"/>
      <c r="R67" s="79" t="s">
        <v>25</v>
      </c>
    </row>
    <row r="68" spans="1:29">
      <c r="A68" s="103">
        <f t="shared" si="19"/>
        <v>11</v>
      </c>
      <c r="B68" s="37">
        <v>18384</v>
      </c>
      <c r="C68" s="42" t="s">
        <v>107</v>
      </c>
      <c r="D68" s="42" t="s">
        <v>108</v>
      </c>
      <c r="E68" s="57">
        <v>0.91596638655462181</v>
      </c>
      <c r="F68" s="57">
        <v>0.91935483870967738</v>
      </c>
      <c r="G68" s="57">
        <v>0.9140625</v>
      </c>
      <c r="H68" s="54">
        <f>1-(J68-IFERROR(VLOOKUP(B68,補講記録!$H$2:$J$12,3,FALSE),0))/$J$4</f>
        <v>0.91729323308270672</v>
      </c>
      <c r="I68" s="21" t="str">
        <f t="shared" si="18"/>
        <v>↑</v>
      </c>
      <c r="J68" s="28">
        <f>IF(B68="","",VLOOKUP(B68,出席状況!$A$1:$D$136,3,FALSE))</f>
        <v>46.20000000000001</v>
      </c>
      <c r="K68" s="71"/>
      <c r="L68" s="74">
        <v>3</v>
      </c>
      <c r="M68" s="74"/>
      <c r="N68" s="74"/>
      <c r="R68" s="79" t="s">
        <v>25</v>
      </c>
    </row>
    <row r="69" spans="1:29">
      <c r="A69" s="101">
        <f t="shared" si="19"/>
        <v>12</v>
      </c>
      <c r="B69" s="35">
        <v>18391</v>
      </c>
      <c r="C69" s="40" t="s">
        <v>109</v>
      </c>
      <c r="D69" s="40" t="s">
        <v>110</v>
      </c>
      <c r="E69" s="46" t="s">
        <v>310</v>
      </c>
      <c r="F69" s="46" t="s">
        <v>310</v>
      </c>
      <c r="G69" s="46" t="s">
        <v>310</v>
      </c>
      <c r="H69" s="47" t="s">
        <v>321</v>
      </c>
      <c r="I69" s="44" t="str">
        <f t="shared" si="18"/>
        <v>　→</v>
      </c>
      <c r="J69" s="26" t="s">
        <v>310</v>
      </c>
      <c r="K69" s="71"/>
      <c r="L69" s="75">
        <v>3</v>
      </c>
      <c r="M69" s="75"/>
      <c r="N69" s="75"/>
      <c r="R69" s="78" t="s">
        <v>26</v>
      </c>
    </row>
    <row r="70" spans="1:29">
      <c r="A70" s="101">
        <f t="shared" si="19"/>
        <v>13</v>
      </c>
      <c r="B70" s="35">
        <v>18424</v>
      </c>
      <c r="C70" s="40" t="s">
        <v>111</v>
      </c>
      <c r="D70" s="40" t="s">
        <v>112</v>
      </c>
      <c r="E70" s="46">
        <v>0.82793117246898751</v>
      </c>
      <c r="F70" s="46">
        <v>0.83486943164362515</v>
      </c>
      <c r="G70" s="46">
        <v>0.84002976190476186</v>
      </c>
      <c r="H70" s="47">
        <f>1-(J70-IFERROR(VLOOKUP(B70,補講記録!$H$2:$J$12,3,FALSE),0))/$J$4</f>
        <v>0.84604368063014679</v>
      </c>
      <c r="I70" s="44" t="str">
        <f t="shared" si="18"/>
        <v>↑</v>
      </c>
      <c r="J70" s="26">
        <f>IF(B70="","",VLOOKUP(B70,出席状況!$A$1:$D$136,3,FALSE))</f>
        <v>86.000000000000014</v>
      </c>
      <c r="K70" s="71"/>
      <c r="L70" s="75">
        <v>3</v>
      </c>
      <c r="M70" s="75"/>
      <c r="N70" s="75"/>
      <c r="R70" s="79" t="s">
        <v>25</v>
      </c>
    </row>
    <row r="71" spans="1:29">
      <c r="A71" s="101">
        <f t="shared" si="19"/>
        <v>14</v>
      </c>
      <c r="B71" s="35">
        <v>18425</v>
      </c>
      <c r="C71" s="40" t="s">
        <v>113</v>
      </c>
      <c r="D71" s="40" t="s">
        <v>114</v>
      </c>
      <c r="E71" s="46">
        <v>0.98319327731092432</v>
      </c>
      <c r="F71" s="46">
        <v>0.97580645161290325</v>
      </c>
      <c r="G71" s="46">
        <v>0.9765625</v>
      </c>
      <c r="H71" s="47">
        <f>1-(J71-IFERROR(VLOOKUP(B71,補講記録!$H$2:$J$12,3,FALSE),0))/$J$4</f>
        <v>0.97565341926244187</v>
      </c>
      <c r="I71" s="44" t="str">
        <f t="shared" si="18"/>
        <v>　　↓</v>
      </c>
      <c r="J71" s="26">
        <f>IF(B71="","",VLOOKUP(B71,出席状況!$A$1:$D$136,3,FALSE))</f>
        <v>13.600000000000001</v>
      </c>
      <c r="K71" s="71"/>
      <c r="L71" s="75">
        <v>3</v>
      </c>
      <c r="M71" s="75"/>
      <c r="N71" s="75"/>
      <c r="R71" s="78" t="s">
        <v>26</v>
      </c>
    </row>
    <row r="72" spans="1:29">
      <c r="A72" s="102">
        <f t="shared" si="19"/>
        <v>15</v>
      </c>
      <c r="B72" s="36">
        <v>18427</v>
      </c>
      <c r="C72" s="41" t="s">
        <v>115</v>
      </c>
      <c r="D72" s="41" t="s">
        <v>116</v>
      </c>
      <c r="E72" s="56">
        <v>0.96878751500600235</v>
      </c>
      <c r="F72" s="56">
        <v>0.97004608294930872</v>
      </c>
      <c r="G72" s="56">
        <v>0.9709821428571429</v>
      </c>
      <c r="H72" s="53">
        <f>1-(J72-IFERROR(VLOOKUP(B72,補講記録!$H$2:$J$12,3,FALSE),0))/$J$4</f>
        <v>0.97207303974221271</v>
      </c>
      <c r="I72" s="50" t="str">
        <f t="shared" si="18"/>
        <v>↑</v>
      </c>
      <c r="J72" s="27">
        <f>IF(B72="","",VLOOKUP(B72,出席状況!$A$1:$D$136,3,FALSE))</f>
        <v>15.600000000000001</v>
      </c>
      <c r="K72" s="71"/>
      <c r="L72" s="76">
        <v>3</v>
      </c>
      <c r="M72" s="76"/>
      <c r="N72" s="76"/>
      <c r="R72" s="78" t="s">
        <v>26</v>
      </c>
    </row>
    <row r="73" spans="1:29">
      <c r="A73" s="103">
        <f t="shared" si="19"/>
        <v>16</v>
      </c>
      <c r="B73" s="37">
        <v>18428</v>
      </c>
      <c r="C73" s="42" t="s">
        <v>117</v>
      </c>
      <c r="D73" s="42" t="s">
        <v>118</v>
      </c>
      <c r="E73" s="57">
        <v>0.98759503801520609</v>
      </c>
      <c r="F73" s="57">
        <v>0.98809523809523814</v>
      </c>
      <c r="G73" s="57">
        <v>0.98846726190476186</v>
      </c>
      <c r="H73" s="54">
        <f>1-(J73-IFERROR(VLOOKUP(B73,補講記録!$H$2:$J$12,3,FALSE),0))/$J$4</f>
        <v>0.98890082348728969</v>
      </c>
      <c r="I73" s="21" t="str">
        <f t="shared" si="18"/>
        <v>↑</v>
      </c>
      <c r="J73" s="28">
        <f>IF(B73="","",VLOOKUP(B73,出席状況!$A$1:$D$136,3,FALSE))</f>
        <v>6.2</v>
      </c>
      <c r="K73" s="71"/>
      <c r="L73" s="74">
        <v>3</v>
      </c>
      <c r="M73" s="74"/>
      <c r="N73" s="74"/>
      <c r="R73" s="79" t="s">
        <v>25</v>
      </c>
    </row>
    <row r="74" spans="1:29">
      <c r="A74" s="101">
        <f t="shared" si="19"/>
        <v>17</v>
      </c>
      <c r="B74" s="35">
        <v>18429</v>
      </c>
      <c r="C74" s="40" t="s">
        <v>119</v>
      </c>
      <c r="D74" s="40" t="s">
        <v>120</v>
      </c>
      <c r="E74" s="46">
        <v>0.86994797919167666</v>
      </c>
      <c r="F74" s="46">
        <v>0.87519201228878651</v>
      </c>
      <c r="G74" s="46">
        <v>0.87127976190476186</v>
      </c>
      <c r="H74" s="47">
        <f>1-(J74-IFERROR(VLOOKUP(B74,補講記録!$H$2:$J$12,3,FALSE),0))/$J$4</f>
        <v>0.8761188686000716</v>
      </c>
      <c r="I74" s="44" t="str">
        <f t="shared" si="18"/>
        <v>↑</v>
      </c>
      <c r="J74" s="26">
        <f>IF(B74="","",VLOOKUP(B74,出席状況!$A$1:$D$136,3,FALSE))</f>
        <v>69.2</v>
      </c>
      <c r="K74" s="71"/>
      <c r="L74" s="75">
        <v>3</v>
      </c>
      <c r="M74" s="75"/>
      <c r="N74" s="75"/>
      <c r="R74" s="79" t="s">
        <v>25</v>
      </c>
    </row>
    <row r="75" spans="1:29">
      <c r="A75" s="101">
        <f t="shared" si="19"/>
        <v>18</v>
      </c>
      <c r="B75" s="35">
        <v>18458</v>
      </c>
      <c r="C75" s="40" t="s">
        <v>121</v>
      </c>
      <c r="D75" s="40" t="s">
        <v>122</v>
      </c>
      <c r="E75" s="46">
        <v>0.88235294117647056</v>
      </c>
      <c r="F75" s="46">
        <v>0.88709677419354838</v>
      </c>
      <c r="G75" s="46">
        <v>0.8828125</v>
      </c>
      <c r="H75" s="47">
        <f>1-(J75-IFERROR(VLOOKUP(B75,補講記録!$H$2:$J$12,3,FALSE),0))/$J$4</f>
        <v>0.87969924812030076</v>
      </c>
      <c r="I75" s="44" t="str">
        <f t="shared" si="18"/>
        <v>　　↓</v>
      </c>
      <c r="J75" s="26">
        <f>IF(B75="","",VLOOKUP(B75,出席状況!$A$1:$D$136,3,FALSE))</f>
        <v>67.2</v>
      </c>
      <c r="K75" s="71"/>
      <c r="L75" s="75">
        <v>3</v>
      </c>
      <c r="M75" s="75"/>
      <c r="N75" s="75"/>
      <c r="R75" s="79" t="s">
        <v>25</v>
      </c>
    </row>
    <row r="76" spans="1:29">
      <c r="A76" s="101">
        <f t="shared" si="19"/>
        <v>19</v>
      </c>
      <c r="B76" s="35">
        <v>18497</v>
      </c>
      <c r="C76" s="40" t="s">
        <v>123</v>
      </c>
      <c r="D76" s="40" t="s">
        <v>124</v>
      </c>
      <c r="E76" s="46">
        <v>0.68507402961184471</v>
      </c>
      <c r="F76" s="46">
        <v>0.69777265745007688</v>
      </c>
      <c r="G76" s="46">
        <v>0.69940476190476186</v>
      </c>
      <c r="H76" s="47">
        <f>1-(J76-IFERROR(VLOOKUP(B76,補講記録!$H$2:$J$12,3,FALSE),0))/$J$4</f>
        <v>0.71070533476548514</v>
      </c>
      <c r="I76" s="44" t="str">
        <f t="shared" si="18"/>
        <v>↑</v>
      </c>
      <c r="J76" s="26">
        <f>IF(B76="","",VLOOKUP(B76,出席状況!$A$1:$D$136,3,FALSE))</f>
        <v>161.6</v>
      </c>
      <c r="K76" s="71"/>
      <c r="L76" s="75">
        <v>3</v>
      </c>
      <c r="M76" s="75"/>
      <c r="N76" s="75"/>
      <c r="R76" s="79" t="s">
        <v>25</v>
      </c>
      <c r="S76" s="1" t="s">
        <v>337</v>
      </c>
      <c r="T76" s="70">
        <f t="shared" ref="T76:V81" si="24">B76</f>
        <v>18497</v>
      </c>
      <c r="U76" s="70" t="str">
        <f t="shared" si="24"/>
        <v>ISHAN MADUSANKA</v>
      </c>
      <c r="V76" s="70" t="str">
        <f t="shared" si="24"/>
        <v>イシャン　マドゥサンカ</v>
      </c>
      <c r="W76" s="70" t="s">
        <v>339</v>
      </c>
      <c r="X76" s="97">
        <f t="shared" ref="X76:Y81" si="25">G76</f>
        <v>0.69940476190476186</v>
      </c>
      <c r="Y76" s="97">
        <f t="shared" si="25"/>
        <v>0.71070533476548514</v>
      </c>
      <c r="Z76" s="99">
        <v>44464</v>
      </c>
      <c r="AA76" s="70" t="s">
        <v>343</v>
      </c>
      <c r="AB76" s="70" t="s">
        <v>352</v>
      </c>
      <c r="AC76" s="119"/>
    </row>
    <row r="77" spans="1:29">
      <c r="A77" s="102">
        <f t="shared" si="19"/>
        <v>20</v>
      </c>
      <c r="B77" s="36">
        <v>18549</v>
      </c>
      <c r="C77" s="41" t="s">
        <v>125</v>
      </c>
      <c r="D77" s="41" t="s">
        <v>126</v>
      </c>
      <c r="E77" s="56">
        <v>0.81512605042016806</v>
      </c>
      <c r="F77" s="56">
        <v>0.782258064516129</v>
      </c>
      <c r="G77" s="56">
        <v>0.7890625</v>
      </c>
      <c r="H77" s="53">
        <f>1-(J77-IFERROR(VLOOKUP(B77,補講記録!$H$2:$J$12,3,FALSE),0))/$J$4</f>
        <v>0.79699248120300747</v>
      </c>
      <c r="I77" s="50" t="str">
        <f t="shared" si="18"/>
        <v>↑</v>
      </c>
      <c r="J77" s="27">
        <f>IF(B77="","",VLOOKUP(B77,出席状況!$A$1:$D$136,3,FALSE))</f>
        <v>113.40000000000002</v>
      </c>
      <c r="K77" s="71"/>
      <c r="L77" s="76">
        <v>3</v>
      </c>
      <c r="M77" s="76"/>
      <c r="N77" s="76"/>
      <c r="R77" s="79" t="s">
        <v>25</v>
      </c>
      <c r="S77" s="1" t="s">
        <v>337</v>
      </c>
      <c r="T77" s="70">
        <f t="shared" si="24"/>
        <v>18549</v>
      </c>
      <c r="U77" s="70" t="str">
        <f t="shared" si="24"/>
        <v>GAUTAM DIPENDRA</v>
      </c>
      <c r="V77" s="70" t="str">
        <f t="shared" si="24"/>
        <v>ガウタム　ディペンドラ</v>
      </c>
      <c r="W77" s="70" t="s">
        <v>339</v>
      </c>
      <c r="X77" s="97">
        <f t="shared" si="25"/>
        <v>0.7890625</v>
      </c>
      <c r="Y77" s="97">
        <f t="shared" si="25"/>
        <v>0.79699248120300747</v>
      </c>
      <c r="Z77" s="99"/>
      <c r="AB77" s="70" t="s">
        <v>352</v>
      </c>
      <c r="AC77" s="119" t="s">
        <v>383</v>
      </c>
    </row>
    <row r="78" spans="1:29">
      <c r="A78" s="103">
        <f t="shared" si="19"/>
        <v>21</v>
      </c>
      <c r="B78" s="37">
        <v>18564</v>
      </c>
      <c r="C78" s="42" t="s">
        <v>127</v>
      </c>
      <c r="D78" s="42" t="s">
        <v>128</v>
      </c>
      <c r="E78" s="57">
        <v>0.7923169267707082</v>
      </c>
      <c r="F78" s="57">
        <v>0.78456221198156684</v>
      </c>
      <c r="G78" s="57">
        <v>0.79129464285714279</v>
      </c>
      <c r="H78" s="54">
        <f>1-(J78-IFERROR(VLOOKUP(B78,補講記録!$H$2:$J$12,3,FALSE),0))/$J$4</f>
        <v>0.79914070891514499</v>
      </c>
      <c r="I78" s="21" t="str">
        <f t="shared" si="18"/>
        <v>↑</v>
      </c>
      <c r="J78" s="28">
        <f>IF(B78="","",VLOOKUP(B78,出席状況!$A$1:$D$136,3,FALSE))</f>
        <v>112.2</v>
      </c>
      <c r="K78" s="71"/>
      <c r="L78" s="74">
        <v>3</v>
      </c>
      <c r="M78" s="74"/>
      <c r="N78" s="74"/>
      <c r="R78" s="79" t="s">
        <v>25</v>
      </c>
      <c r="S78" s="1" t="s">
        <v>337</v>
      </c>
      <c r="T78" s="70">
        <f t="shared" si="24"/>
        <v>18564</v>
      </c>
      <c r="U78" s="70" t="str">
        <f t="shared" si="24"/>
        <v>NGUYEN DINH DO</v>
      </c>
      <c r="V78" s="70" t="str">
        <f t="shared" si="24"/>
        <v>グエン　ディン　ド　</v>
      </c>
      <c r="W78" s="70" t="s">
        <v>339</v>
      </c>
      <c r="X78" s="97">
        <f t="shared" si="25"/>
        <v>0.79129464285714279</v>
      </c>
      <c r="Y78" s="97">
        <f t="shared" si="25"/>
        <v>0.79914070891514499</v>
      </c>
      <c r="Z78" s="99">
        <v>44449</v>
      </c>
      <c r="AA78" s="70" t="s">
        <v>349</v>
      </c>
      <c r="AB78" s="70" t="s">
        <v>352</v>
      </c>
      <c r="AC78" s="119"/>
    </row>
    <row r="79" spans="1:29" s="71" customFormat="1">
      <c r="A79" s="101">
        <f t="shared" si="19"/>
        <v>22</v>
      </c>
      <c r="B79" s="35">
        <v>18579</v>
      </c>
      <c r="C79" s="40" t="s">
        <v>129</v>
      </c>
      <c r="D79" s="40" t="s">
        <v>130</v>
      </c>
      <c r="E79" s="46">
        <v>0.61984793917567016</v>
      </c>
      <c r="F79" s="46">
        <v>0.62711213517665132</v>
      </c>
      <c r="G79" s="46">
        <v>0.63876488095238093</v>
      </c>
      <c r="H79" s="47">
        <f ca="1">1-(J79-IFERROR(VLOOKUP(B79,補講記録!$H$2:$J$12,3,FALSE),0))/$J$4</f>
        <v>0.6523451485857501</v>
      </c>
      <c r="I79" s="44" t="str">
        <f t="shared" ca="1" si="18"/>
        <v>↑</v>
      </c>
      <c r="J79" s="26">
        <f>IF(B79="","",VLOOKUP(B79,出席状況!$A$1:$D$136,3,FALSE))</f>
        <v>194.20000000000002</v>
      </c>
      <c r="L79" s="75">
        <v>3</v>
      </c>
      <c r="M79" s="75"/>
      <c r="N79" s="75"/>
      <c r="O79" s="72"/>
      <c r="R79" s="78" t="s">
        <v>26</v>
      </c>
      <c r="S79" s="6" t="s">
        <v>337</v>
      </c>
      <c r="T79" s="71">
        <f t="shared" si="24"/>
        <v>18579</v>
      </c>
      <c r="U79" s="71" t="str">
        <f t="shared" si="24"/>
        <v>GALHENAGE CHANIDU SHALINDA PERERA</v>
      </c>
      <c r="V79" s="71" t="str">
        <f t="shared" si="24"/>
        <v>ガルヘナゲ　チャニトウ　シャリンダ　ペレラ</v>
      </c>
      <c r="W79" s="71" t="s">
        <v>339</v>
      </c>
      <c r="X79" s="98">
        <f t="shared" si="25"/>
        <v>0.63876488095238093</v>
      </c>
      <c r="Y79" s="98">
        <f t="shared" ca="1" si="25"/>
        <v>0.6523451485857501</v>
      </c>
      <c r="Z79" s="99">
        <v>44449</v>
      </c>
      <c r="AA79" s="70" t="s">
        <v>350</v>
      </c>
      <c r="AB79" s="71" t="s">
        <v>352</v>
      </c>
      <c r="AC79" s="120" t="s">
        <v>382</v>
      </c>
    </row>
    <row r="80" spans="1:29">
      <c r="A80" s="101">
        <f t="shared" si="19"/>
        <v>23</v>
      </c>
      <c r="B80" s="35">
        <v>18598</v>
      </c>
      <c r="C80" s="40" t="s">
        <v>131</v>
      </c>
      <c r="D80" s="40" t="s">
        <v>132</v>
      </c>
      <c r="E80" s="46">
        <v>0.65986394557823136</v>
      </c>
      <c r="F80" s="46">
        <v>0.64938556067588338</v>
      </c>
      <c r="G80" s="46">
        <v>0.65252976190476197</v>
      </c>
      <c r="H80" s="47">
        <f>1-(J80-IFERROR(VLOOKUP(B80,補講記録!$H$2:$J$12,3,FALSE),0))/$J$4</f>
        <v>0.65807375581811667</v>
      </c>
      <c r="I80" s="44" t="str">
        <f t="shared" si="18"/>
        <v>↑</v>
      </c>
      <c r="J80" s="26">
        <f>IF(B80="","",VLOOKUP(B80,出席状況!$A$1:$D$136,3,FALSE))</f>
        <v>191</v>
      </c>
      <c r="K80" s="71"/>
      <c r="L80" s="75">
        <v>3</v>
      </c>
      <c r="M80" s="75"/>
      <c r="N80" s="75"/>
      <c r="R80" s="78" t="s">
        <v>26</v>
      </c>
      <c r="S80" s="1" t="s">
        <v>337</v>
      </c>
      <c r="T80" s="70">
        <f t="shared" si="24"/>
        <v>18598</v>
      </c>
      <c r="U80" s="70" t="str">
        <f t="shared" si="24"/>
        <v>BIST KESHAV</v>
      </c>
      <c r="V80" s="70" t="str">
        <f t="shared" si="24"/>
        <v>ビスト　ケサブ　</v>
      </c>
      <c r="W80" s="70" t="s">
        <v>339</v>
      </c>
      <c r="X80" s="97">
        <f t="shared" si="25"/>
        <v>0.65252976190476197</v>
      </c>
      <c r="Y80" s="97">
        <f t="shared" si="25"/>
        <v>0.65807375581811667</v>
      </c>
      <c r="Z80" s="99">
        <v>44351</v>
      </c>
      <c r="AA80" s="70" t="s">
        <v>351</v>
      </c>
      <c r="AB80" s="70" t="s">
        <v>352</v>
      </c>
      <c r="AC80" s="119"/>
    </row>
    <row r="81" spans="1:29">
      <c r="A81" s="101">
        <f t="shared" si="19"/>
        <v>24</v>
      </c>
      <c r="B81" s="35">
        <v>18613</v>
      </c>
      <c r="C81" s="40" t="s">
        <v>133</v>
      </c>
      <c r="D81" s="40" t="s">
        <v>134</v>
      </c>
      <c r="E81" s="46">
        <v>0.73549419767907165</v>
      </c>
      <c r="F81" s="46">
        <v>0.73809523809523814</v>
      </c>
      <c r="G81" s="46">
        <v>0.73846726190476186</v>
      </c>
      <c r="H81" s="47">
        <f>1-(J81-IFERROR(VLOOKUP(B81,補講記録!$H$2:$J$12,3,FALSE),0))/$J$4</f>
        <v>0.74078052273540995</v>
      </c>
      <c r="I81" s="44" t="str">
        <f t="shared" si="18"/>
        <v>↑</v>
      </c>
      <c r="J81" s="26">
        <f>IF(B81="","",VLOOKUP(B81,出席状況!$A$1:$D$136,3,FALSE))</f>
        <v>144.80000000000001</v>
      </c>
      <c r="K81" s="71"/>
      <c r="L81" s="75">
        <v>3</v>
      </c>
      <c r="M81" s="75"/>
      <c r="N81" s="75"/>
      <c r="R81" s="78" t="s">
        <v>26</v>
      </c>
      <c r="S81" s="1" t="s">
        <v>337</v>
      </c>
      <c r="T81" s="70">
        <f t="shared" si="24"/>
        <v>18613</v>
      </c>
      <c r="U81" s="70" t="str">
        <f t="shared" si="24"/>
        <v>NGUYEN VAN BAC</v>
      </c>
      <c r="V81" s="70" t="str">
        <f t="shared" si="24"/>
        <v>グェン　バン　バック</v>
      </c>
      <c r="W81" s="70" t="s">
        <v>339</v>
      </c>
      <c r="X81" s="97">
        <f t="shared" si="25"/>
        <v>0.73846726190476186</v>
      </c>
      <c r="Y81" s="97">
        <f t="shared" si="25"/>
        <v>0.74078052273540995</v>
      </c>
      <c r="Z81" s="99">
        <v>44449</v>
      </c>
      <c r="AA81" s="70" t="s">
        <v>344</v>
      </c>
      <c r="AB81" s="70" t="s">
        <v>352</v>
      </c>
      <c r="AC81" s="119"/>
    </row>
    <row r="82" spans="1:29">
      <c r="A82" s="102">
        <f t="shared" si="19"/>
        <v>25</v>
      </c>
      <c r="B82" s="36">
        <v>17899</v>
      </c>
      <c r="C82" s="41" t="s">
        <v>135</v>
      </c>
      <c r="D82" s="41" t="s">
        <v>136</v>
      </c>
      <c r="E82" s="56" t="s">
        <v>301</v>
      </c>
      <c r="F82" s="56" t="s">
        <v>301</v>
      </c>
      <c r="G82" s="56" t="s">
        <v>301</v>
      </c>
      <c r="H82" s="53" t="s">
        <v>301</v>
      </c>
      <c r="I82" s="50"/>
      <c r="J82" s="27" t="s">
        <v>304</v>
      </c>
      <c r="K82" s="71"/>
      <c r="L82" s="76">
        <v>3</v>
      </c>
      <c r="M82" s="76"/>
      <c r="N82" s="76"/>
      <c r="R82" s="79" t="s">
        <v>25</v>
      </c>
    </row>
    <row r="83" spans="1:29">
      <c r="A83" s="103">
        <f t="shared" si="19"/>
        <v>26</v>
      </c>
      <c r="B83" s="37"/>
      <c r="C83" s="42"/>
      <c r="D83" s="42"/>
      <c r="E83" s="57"/>
      <c r="F83" s="57"/>
      <c r="G83" s="57"/>
      <c r="H83" s="54"/>
      <c r="I83" s="21"/>
      <c r="J83" s="28" t="str">
        <f>IF(B83="","",VLOOKUP(B83,出席状況!$A$1:$D$136,3,FALSE))</f>
        <v/>
      </c>
      <c r="K83" s="71"/>
      <c r="L83" s="74"/>
      <c r="M83" s="74"/>
      <c r="N83" s="74"/>
      <c r="R83" s="79" t="s">
        <v>25</v>
      </c>
    </row>
    <row r="84" spans="1:29">
      <c r="A84" s="101">
        <f t="shared" si="19"/>
        <v>27</v>
      </c>
      <c r="B84" s="35"/>
      <c r="C84" s="40"/>
      <c r="D84" s="40"/>
      <c r="E84" s="46"/>
      <c r="F84" s="46"/>
      <c r="G84" s="46"/>
      <c r="H84" s="47"/>
      <c r="I84" s="44"/>
      <c r="J84" s="26" t="str">
        <f>IF(B84="","",VLOOKUP(B84,出席状況!$A$1:$D$136,3,FALSE))</f>
        <v/>
      </c>
      <c r="K84" s="71"/>
      <c r="L84" s="75"/>
      <c r="M84" s="75"/>
      <c r="N84" s="75"/>
      <c r="R84" s="78" t="s">
        <v>26</v>
      </c>
    </row>
    <row r="85" spans="1:29">
      <c r="A85" s="101">
        <f t="shared" si="19"/>
        <v>28</v>
      </c>
      <c r="B85" s="35"/>
      <c r="C85" s="40"/>
      <c r="D85" s="40"/>
      <c r="E85" s="46"/>
      <c r="F85" s="46"/>
      <c r="G85" s="46"/>
      <c r="H85" s="47"/>
      <c r="I85" s="44"/>
      <c r="J85" s="26" t="str">
        <f>IF(B85="","",VLOOKUP(B85,出席状況!$A$1:$D$136,3,FALSE))</f>
        <v/>
      </c>
      <c r="K85" s="71"/>
      <c r="L85" s="75"/>
      <c r="M85" s="75"/>
      <c r="N85" s="75"/>
      <c r="R85" s="79" t="s">
        <v>25</v>
      </c>
    </row>
    <row r="86" spans="1:29">
      <c r="A86" s="101">
        <f t="shared" si="19"/>
        <v>29</v>
      </c>
      <c r="B86" s="35"/>
      <c r="C86" s="40"/>
      <c r="D86" s="40"/>
      <c r="E86" s="46"/>
      <c r="F86" s="46"/>
      <c r="G86" s="46"/>
      <c r="H86" s="47"/>
      <c r="I86" s="44"/>
      <c r="J86" s="26" t="str">
        <f>IF(B86="","",VLOOKUP(B86,出席状況!$A$1:$D$136,3,FALSE))</f>
        <v/>
      </c>
      <c r="K86" s="71"/>
      <c r="L86" s="75"/>
      <c r="M86" s="75"/>
      <c r="N86" s="75"/>
      <c r="R86" s="79" t="s">
        <v>25</v>
      </c>
    </row>
    <row r="87" spans="1:29">
      <c r="A87" s="102">
        <f t="shared" si="19"/>
        <v>30</v>
      </c>
      <c r="B87" s="36"/>
      <c r="C87" s="41"/>
      <c r="D87" s="41"/>
      <c r="E87" s="56"/>
      <c r="F87" s="56"/>
      <c r="G87" s="56"/>
      <c r="H87" s="53"/>
      <c r="I87" s="50"/>
      <c r="J87" s="27" t="str">
        <f>IF(B87="","",VLOOKUP(B87,出席状況!$A$1:$D$136,3,FALSE))</f>
        <v/>
      </c>
      <c r="K87" s="71"/>
      <c r="L87" s="76"/>
      <c r="M87" s="76"/>
      <c r="N87" s="76"/>
      <c r="R87" s="79" t="s">
        <v>25</v>
      </c>
    </row>
    <row r="88" spans="1:29">
      <c r="A88" s="103">
        <f t="shared" si="19"/>
        <v>31</v>
      </c>
      <c r="B88" s="37">
        <v>18302</v>
      </c>
      <c r="C88" s="42" t="s">
        <v>137</v>
      </c>
      <c r="D88" s="42" t="s">
        <v>138</v>
      </c>
      <c r="E88" s="57">
        <v>0.8679471788715486</v>
      </c>
      <c r="F88" s="57">
        <v>0.87135176651305679</v>
      </c>
      <c r="G88" s="57">
        <v>0.87537202380952384</v>
      </c>
      <c r="H88" s="54">
        <f>1-(J88-IFERROR(VLOOKUP(B88,補講記録!$H$2:$J$12,3,FALSE),0))/$J$4</f>
        <v>0.87253848907984244</v>
      </c>
      <c r="I88" s="21" t="str">
        <f t="shared" ref="I88:I92" si="26">IF(G88&lt;H88,$I$3,IF(G88=H88,$I$4,$I$5))</f>
        <v>　　↓</v>
      </c>
      <c r="J88" s="28">
        <f>IF(B88="","",VLOOKUP(B88,出席状況!$A$1:$D$136,3,FALSE))</f>
        <v>71.2</v>
      </c>
      <c r="K88" s="71"/>
      <c r="L88" s="74">
        <v>2</v>
      </c>
      <c r="M88" s="74"/>
      <c r="N88" s="74"/>
      <c r="R88" s="79" t="s">
        <v>25</v>
      </c>
    </row>
    <row r="89" spans="1:29">
      <c r="A89" s="101">
        <f t="shared" si="19"/>
        <v>32</v>
      </c>
      <c r="B89" s="35">
        <v>18308</v>
      </c>
      <c r="C89" s="40" t="s">
        <v>139</v>
      </c>
      <c r="D89" s="40" t="s">
        <v>140</v>
      </c>
      <c r="E89" s="46">
        <v>0.97478991596638653</v>
      </c>
      <c r="F89" s="46">
        <v>0.97580645161290325</v>
      </c>
      <c r="G89" s="46">
        <v>0.9765625</v>
      </c>
      <c r="H89" s="47">
        <f>1-(J89-IFERROR(VLOOKUP(B89,補講記録!$H$2:$J$12,3,FALSE),0))/$J$4</f>
        <v>0.97744360902255634</v>
      </c>
      <c r="I89" s="44" t="str">
        <f t="shared" si="26"/>
        <v>↑</v>
      </c>
      <c r="J89" s="26">
        <f>IF(B89="","",VLOOKUP(B89,出席状況!$A$1:$D$136,3,FALSE))</f>
        <v>12.600000000000001</v>
      </c>
      <c r="K89" s="71"/>
      <c r="L89" s="75">
        <v>2</v>
      </c>
      <c r="M89" s="75"/>
      <c r="N89" s="75"/>
      <c r="R89" s="79" t="s">
        <v>25</v>
      </c>
    </row>
    <row r="90" spans="1:29">
      <c r="A90" s="101">
        <f t="shared" si="19"/>
        <v>33</v>
      </c>
      <c r="B90" s="35">
        <v>18310</v>
      </c>
      <c r="C90" s="40" t="s">
        <v>141</v>
      </c>
      <c r="D90" s="40" t="s">
        <v>142</v>
      </c>
      <c r="E90" s="46">
        <v>1</v>
      </c>
      <c r="F90" s="46">
        <v>1</v>
      </c>
      <c r="G90" s="46">
        <v>1</v>
      </c>
      <c r="H90" s="47">
        <f>1-(J90-IFERROR(VLOOKUP(B90,補講記録!$H$2:$J$12,3,FALSE),0))/$J$4</f>
        <v>1</v>
      </c>
      <c r="I90" s="44" t="str">
        <f t="shared" si="26"/>
        <v>　→</v>
      </c>
      <c r="J90" s="26">
        <f>IF(B90="","",VLOOKUP(B90,出席状況!$A$1:$D$136,3,FALSE))</f>
        <v>0</v>
      </c>
      <c r="K90" s="71"/>
      <c r="L90" s="75">
        <v>2</v>
      </c>
      <c r="M90" s="75"/>
      <c r="N90" s="75"/>
      <c r="R90" s="78" t="s">
        <v>26</v>
      </c>
    </row>
    <row r="91" spans="1:29">
      <c r="A91" s="101">
        <f t="shared" si="19"/>
        <v>34</v>
      </c>
      <c r="B91" s="35">
        <v>18341</v>
      </c>
      <c r="C91" s="40" t="s">
        <v>143</v>
      </c>
      <c r="D91" s="40" t="s">
        <v>144</v>
      </c>
      <c r="E91" s="46">
        <v>0.98759503801520609</v>
      </c>
      <c r="F91" s="46">
        <v>0.98809523809523814</v>
      </c>
      <c r="G91" s="46">
        <v>0.98846726190476186</v>
      </c>
      <c r="H91" s="47">
        <f>1-(J91-IFERROR(VLOOKUP(B91,補講記録!$H$2:$J$12,3,FALSE),0))/$J$4</f>
        <v>0.98890082348728969</v>
      </c>
      <c r="I91" s="44" t="str">
        <f t="shared" si="26"/>
        <v>↑</v>
      </c>
      <c r="J91" s="26">
        <f>IF(B91="","",VLOOKUP(B91,出席状況!$A$1:$D$136,3,FALSE))</f>
        <v>6.2</v>
      </c>
      <c r="K91" s="71"/>
      <c r="L91" s="75">
        <v>2</v>
      </c>
      <c r="M91" s="75"/>
      <c r="N91" s="75"/>
      <c r="R91" s="79" t="s">
        <v>25</v>
      </c>
    </row>
    <row r="92" spans="1:29">
      <c r="A92" s="102">
        <f t="shared" si="19"/>
        <v>35</v>
      </c>
      <c r="B92" s="36">
        <v>18355</v>
      </c>
      <c r="C92" s="41" t="s">
        <v>145</v>
      </c>
      <c r="D92" s="41" t="s">
        <v>146</v>
      </c>
      <c r="E92" s="56">
        <v>0.86994797919167666</v>
      </c>
      <c r="F92" s="56">
        <v>0.87519201228878651</v>
      </c>
      <c r="G92" s="56">
        <v>0.87127976190476186</v>
      </c>
      <c r="H92" s="53">
        <f>1-(J92-IFERROR(VLOOKUP(B92,補講記録!$H$2:$J$12,3,FALSE),0))/$J$4</f>
        <v>0.8761188686000716</v>
      </c>
      <c r="I92" s="50" t="str">
        <f t="shared" si="26"/>
        <v>↑</v>
      </c>
      <c r="J92" s="27">
        <f>IF(B92="","",VLOOKUP(B92,出席状況!$A$1:$D$136,3,FALSE))</f>
        <v>69.2</v>
      </c>
      <c r="K92" s="71"/>
      <c r="L92" s="76">
        <v>2</v>
      </c>
      <c r="M92" s="76"/>
      <c r="N92" s="76"/>
      <c r="R92" s="78" t="s">
        <v>26</v>
      </c>
    </row>
    <row r="93" spans="1:29">
      <c r="A93" s="103">
        <f t="shared" si="19"/>
        <v>36</v>
      </c>
      <c r="B93" s="37">
        <v>18405</v>
      </c>
      <c r="C93" s="42" t="s">
        <v>147</v>
      </c>
      <c r="D93" s="42" t="s">
        <v>148</v>
      </c>
      <c r="E93" s="57">
        <v>0.97478991596638653</v>
      </c>
      <c r="F93" s="57">
        <v>0.97580645161290325</v>
      </c>
      <c r="G93" s="57">
        <v>0.9765625</v>
      </c>
      <c r="H93" s="54">
        <f>1-(J93-IFERROR(VLOOKUP(B93,補講記録!$H$2:$J$12,3,FALSE),0))/$J$4</f>
        <v>0.97744360902255634</v>
      </c>
      <c r="I93" s="21" t="str">
        <f t="shared" si="18"/>
        <v>↑</v>
      </c>
      <c r="J93" s="28">
        <f>IF(B93="","",VLOOKUP(B93,出席状況!$A$1:$D$136,3,FALSE))</f>
        <v>12.600000000000001</v>
      </c>
      <c r="K93" s="71"/>
      <c r="L93" s="74">
        <v>2</v>
      </c>
      <c r="M93" s="74"/>
      <c r="N93" s="74"/>
      <c r="R93" s="79" t="s">
        <v>25</v>
      </c>
    </row>
    <row r="94" spans="1:29">
      <c r="A94" s="101">
        <f t="shared" si="19"/>
        <v>37</v>
      </c>
      <c r="B94" s="35">
        <v>18530</v>
      </c>
      <c r="C94" s="40" t="s">
        <v>149</v>
      </c>
      <c r="D94" s="40" t="s">
        <v>150</v>
      </c>
      <c r="E94" s="46">
        <v>0.86994797919167666</v>
      </c>
      <c r="F94" s="46">
        <v>0.86712749615975426</v>
      </c>
      <c r="G94" s="46">
        <v>0.87127976190476186</v>
      </c>
      <c r="H94" s="47">
        <f>1-(J94-IFERROR(VLOOKUP(B94,補講記録!$H$2:$J$12,3,FALSE),0))/$J$4</f>
        <v>0.8761188686000716</v>
      </c>
      <c r="I94" s="44" t="str">
        <f t="shared" si="18"/>
        <v>↑</v>
      </c>
      <c r="J94" s="26">
        <f>IF(B94="","",VLOOKUP(B94,出席状況!$A$1:$D$136,3,FALSE))</f>
        <v>69.199999999999989</v>
      </c>
      <c r="K94" s="71"/>
      <c r="L94" s="75">
        <v>2</v>
      </c>
      <c r="M94" s="75"/>
      <c r="N94" s="75"/>
      <c r="R94" s="79" t="s">
        <v>25</v>
      </c>
    </row>
    <row r="95" spans="1:29">
      <c r="A95" s="101">
        <f t="shared" si="19"/>
        <v>38</v>
      </c>
      <c r="B95" s="35">
        <v>18607</v>
      </c>
      <c r="C95" s="40" t="s">
        <v>151</v>
      </c>
      <c r="D95" s="40" t="s">
        <v>152</v>
      </c>
      <c r="E95" s="46" t="s">
        <v>302</v>
      </c>
      <c r="F95" s="46" t="s">
        <v>302</v>
      </c>
      <c r="G95" s="46" t="s">
        <v>302</v>
      </c>
      <c r="H95" s="47" t="s">
        <v>302</v>
      </c>
      <c r="I95" s="44"/>
      <c r="J95" s="26" t="s">
        <v>303</v>
      </c>
      <c r="K95" s="71"/>
      <c r="L95" s="75">
        <v>2</v>
      </c>
      <c r="M95" s="75"/>
      <c r="N95" s="75"/>
      <c r="R95" s="79" t="s">
        <v>25</v>
      </c>
    </row>
    <row r="96" spans="1:29">
      <c r="A96" s="101">
        <f t="shared" si="19"/>
        <v>39</v>
      </c>
      <c r="B96" s="35"/>
      <c r="C96" s="40"/>
      <c r="D96" s="40"/>
      <c r="E96" s="46"/>
      <c r="F96" s="46"/>
      <c r="G96" s="46"/>
      <c r="H96" s="47"/>
      <c r="I96" s="44"/>
      <c r="J96" s="26"/>
      <c r="K96" s="71"/>
      <c r="L96" s="75"/>
      <c r="M96" s="75"/>
      <c r="N96" s="75"/>
      <c r="R96" s="79" t="s">
        <v>25</v>
      </c>
    </row>
    <row r="97" spans="1:18">
      <c r="A97" s="102">
        <f t="shared" si="19"/>
        <v>40</v>
      </c>
      <c r="B97" s="36"/>
      <c r="C97" s="41"/>
      <c r="D97" s="41"/>
      <c r="E97" s="56"/>
      <c r="F97" s="56"/>
      <c r="G97" s="56"/>
      <c r="H97" s="53"/>
      <c r="I97" s="50"/>
      <c r="J97" s="27"/>
      <c r="K97" s="71"/>
      <c r="L97" s="76"/>
      <c r="M97" s="76"/>
      <c r="N97" s="76"/>
      <c r="R97" s="78" t="s">
        <v>26</v>
      </c>
    </row>
    <row r="98" spans="1:18">
      <c r="A98" s="103">
        <f t="shared" si="19"/>
        <v>41</v>
      </c>
      <c r="B98" s="37"/>
      <c r="C98" s="42"/>
      <c r="D98" s="42"/>
      <c r="E98" s="57"/>
      <c r="F98" s="57"/>
      <c r="G98" s="57"/>
      <c r="H98" s="54"/>
      <c r="I98" s="21"/>
      <c r="J98" s="28"/>
      <c r="K98" s="71"/>
      <c r="L98" s="74"/>
      <c r="M98" s="74"/>
      <c r="N98" s="74"/>
      <c r="R98" s="79" t="s">
        <v>25</v>
      </c>
    </row>
    <row r="99" spans="1:18" s="71" customFormat="1">
      <c r="A99" s="101">
        <f t="shared" si="19"/>
        <v>42</v>
      </c>
      <c r="B99" s="35"/>
      <c r="C99" s="40"/>
      <c r="D99" s="40"/>
      <c r="E99" s="46"/>
      <c r="F99" s="46"/>
      <c r="G99" s="46"/>
      <c r="H99" s="47"/>
      <c r="I99" s="44"/>
      <c r="J99" s="26"/>
      <c r="L99" s="75"/>
      <c r="M99" s="75"/>
      <c r="N99" s="75"/>
      <c r="O99" s="73"/>
      <c r="R99" s="79" t="s">
        <v>25</v>
      </c>
    </row>
    <row r="100" spans="1:18">
      <c r="A100" s="101">
        <f t="shared" si="19"/>
        <v>43</v>
      </c>
      <c r="B100" s="35"/>
      <c r="C100" s="40"/>
      <c r="D100" s="40"/>
      <c r="E100" s="46"/>
      <c r="F100" s="46"/>
      <c r="G100" s="46"/>
      <c r="H100" s="47"/>
      <c r="I100" s="44"/>
      <c r="J100" s="26"/>
      <c r="K100" s="71"/>
      <c r="L100" s="75"/>
      <c r="M100" s="75"/>
      <c r="N100" s="75"/>
      <c r="R100" s="78" t="s">
        <v>26</v>
      </c>
    </row>
    <row r="101" spans="1:18">
      <c r="A101" s="101">
        <f t="shared" si="19"/>
        <v>44</v>
      </c>
      <c r="B101" s="35"/>
      <c r="C101" s="40"/>
      <c r="D101" s="40"/>
      <c r="E101" s="46"/>
      <c r="F101" s="46"/>
      <c r="G101" s="46"/>
      <c r="H101" s="47"/>
      <c r="I101" s="44"/>
      <c r="J101" s="26"/>
      <c r="K101" s="71"/>
      <c r="L101" s="75"/>
      <c r="M101" s="75"/>
      <c r="N101" s="75"/>
      <c r="R101" s="79" t="s">
        <v>25</v>
      </c>
    </row>
    <row r="102" spans="1:18" ht="12" thickBot="1">
      <c r="A102" s="104">
        <f t="shared" si="19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18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8" ht="12" thickBot="1">
      <c r="D103" s="45" t="s">
        <v>12</v>
      </c>
      <c r="E103" s="33">
        <f>AVERAGE(E58:E102)</f>
        <v>0.86676003734827267</v>
      </c>
      <c r="F103" s="33">
        <f>AVERAGE(F58:F102)</f>
        <v>0.86749871991807481</v>
      </c>
      <c r="G103" s="33">
        <f>AVERAGE(G58:G102)</f>
        <v>0.86949404761904781</v>
      </c>
      <c r="H103" s="33">
        <f ca="1">AVERAGE(H58:H102)</f>
        <v>0.87183434777419722</v>
      </c>
      <c r="I103" s="13" t="str">
        <f t="shared" ca="1" si="18"/>
        <v>↑</v>
      </c>
    </row>
    <row r="104" spans="1:18">
      <c r="L104" s="70">
        <f>COUNTIF(L$58:L$102,"=2")</f>
        <v>8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8">
      <c r="L105" s="70">
        <f>COUNTIF(L$58:L$102,"=3")</f>
        <v>25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8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I34:I35 I37 I49:I53 I22 I27 I32 I93:I94 I96 I98:I102 I71 I76 I81">
    <cfRule type="expression" dxfId="502" priority="481">
      <formula>G22&gt;H22</formula>
    </cfRule>
  </conditionalFormatting>
  <conditionalFormatting sqref="I10:I18">
    <cfRule type="expression" dxfId="501" priority="480">
      <formula>G10&gt;H10</formula>
    </cfRule>
  </conditionalFormatting>
  <conditionalFormatting sqref="I54">
    <cfRule type="expression" dxfId="500" priority="479">
      <formula>G54&gt;H54</formula>
    </cfRule>
  </conditionalFormatting>
  <conditionalFormatting sqref="I103">
    <cfRule type="expression" dxfId="499" priority="478">
      <formula>G103&gt;H103</formula>
    </cfRule>
  </conditionalFormatting>
  <conditionalFormatting sqref="E103">
    <cfRule type="expression" dxfId="498" priority="475">
      <formula>AND(0.75&lt;=E103,E103&lt;0.8)</formula>
    </cfRule>
    <cfRule type="expression" dxfId="497" priority="476">
      <formula>AND(0.65 &lt;= E103,E103&lt;0.75)</formula>
    </cfRule>
    <cfRule type="expression" dxfId="496" priority="477">
      <formula>E103 &lt; 0.65</formula>
    </cfRule>
  </conditionalFormatting>
  <conditionalFormatting sqref="E103">
    <cfRule type="expression" dxfId="495" priority="472">
      <formula>AND(0.75&lt;=E103,E103&lt;0.8)</formula>
    </cfRule>
    <cfRule type="expression" dxfId="494" priority="473">
      <formula>AND(0.65 &lt;= E103,E103&lt;0.75)</formula>
    </cfRule>
    <cfRule type="expression" dxfId="493" priority="474">
      <formula>E103 &lt; 0.65</formula>
    </cfRule>
  </conditionalFormatting>
  <conditionalFormatting sqref="E103">
    <cfRule type="expression" dxfId="492" priority="469">
      <formula>AND(0.75&lt;=E103,E103&lt;0.8)</formula>
    </cfRule>
    <cfRule type="expression" dxfId="491" priority="470">
      <formula>AND(0.65 &lt;= E103,E103&lt;0.75)</formula>
    </cfRule>
    <cfRule type="expression" dxfId="490" priority="471">
      <formula>E103 &lt; 0.65</formula>
    </cfRule>
  </conditionalFormatting>
  <conditionalFormatting sqref="E103">
    <cfRule type="expression" dxfId="489" priority="466">
      <formula>AND(0.75&lt;=E103,E103&lt;0.8)</formula>
    </cfRule>
    <cfRule type="expression" dxfId="488" priority="467">
      <formula>AND(0.65 &lt;= E103,E103&lt;0.75)</formula>
    </cfRule>
    <cfRule type="expression" dxfId="487" priority="468">
      <formula>E103 &lt; 0.65</formula>
    </cfRule>
  </conditionalFormatting>
  <conditionalFormatting sqref="E103">
    <cfRule type="expression" dxfId="486" priority="463">
      <formula>AND(0.75&lt;=E103,E103&lt;0.8)</formula>
    </cfRule>
    <cfRule type="expression" dxfId="485" priority="464">
      <formula>AND(0.65 &lt;= E103,E103&lt;0.75)</formula>
    </cfRule>
    <cfRule type="expression" dxfId="484" priority="465">
      <formula>E103 &lt; 0.65</formula>
    </cfRule>
  </conditionalFormatting>
  <conditionalFormatting sqref="E103">
    <cfRule type="expression" dxfId="483" priority="460">
      <formula>AND(0.75&lt;=E103,E103&lt;0.8)</formula>
    </cfRule>
    <cfRule type="expression" dxfId="482" priority="461">
      <formula>AND(0.65 &lt;= E103,E103&lt;0.75)</formula>
    </cfRule>
    <cfRule type="expression" dxfId="481" priority="462">
      <formula>E103 &lt; 0.65</formula>
    </cfRule>
  </conditionalFormatting>
  <conditionalFormatting sqref="I19:I20">
    <cfRule type="expression" dxfId="480" priority="459">
      <formula>G19&gt;H19</formula>
    </cfRule>
  </conditionalFormatting>
  <conditionalFormatting sqref="I9">
    <cfRule type="expression" dxfId="479" priority="458">
      <formula>G9&gt;H9</formula>
    </cfRule>
  </conditionalFormatting>
  <conditionalFormatting sqref="I21">
    <cfRule type="expression" dxfId="478" priority="457">
      <formula>G21&gt;H21</formula>
    </cfRule>
  </conditionalFormatting>
  <conditionalFormatting sqref="I23">
    <cfRule type="expression" dxfId="477" priority="456">
      <formula>G23&gt;H23</formula>
    </cfRule>
  </conditionalFormatting>
  <conditionalFormatting sqref="I36">
    <cfRule type="expression" dxfId="476" priority="455">
      <formula>G36&gt;H36</formula>
    </cfRule>
  </conditionalFormatting>
  <conditionalFormatting sqref="I38">
    <cfRule type="expression" dxfId="475" priority="454">
      <formula>G38&gt;H38</formula>
    </cfRule>
  </conditionalFormatting>
  <conditionalFormatting sqref="I24:I25">
    <cfRule type="expression" dxfId="474" priority="453">
      <formula>G24&gt;H24</formula>
    </cfRule>
  </conditionalFormatting>
  <conditionalFormatting sqref="I26">
    <cfRule type="expression" dxfId="473" priority="452">
      <formula>G26&gt;H26</formula>
    </cfRule>
  </conditionalFormatting>
  <conditionalFormatting sqref="I28">
    <cfRule type="expression" dxfId="472" priority="451">
      <formula>G28&gt;H28</formula>
    </cfRule>
  </conditionalFormatting>
  <conditionalFormatting sqref="I29:I30">
    <cfRule type="expression" dxfId="471" priority="450">
      <formula>G29&gt;H29</formula>
    </cfRule>
  </conditionalFormatting>
  <conditionalFormatting sqref="I31">
    <cfRule type="expression" dxfId="470" priority="449">
      <formula>G31&gt;H31</formula>
    </cfRule>
  </conditionalFormatting>
  <conditionalFormatting sqref="I33">
    <cfRule type="expression" dxfId="469" priority="448">
      <formula>G33&gt;H33</formula>
    </cfRule>
  </conditionalFormatting>
  <conditionalFormatting sqref="I59:I67">
    <cfRule type="expression" dxfId="468" priority="447">
      <formula>G59&gt;H59</formula>
    </cfRule>
  </conditionalFormatting>
  <conditionalFormatting sqref="I68:I69">
    <cfRule type="expression" dxfId="467" priority="446">
      <formula>G68&gt;H68</formula>
    </cfRule>
  </conditionalFormatting>
  <conditionalFormatting sqref="I58">
    <cfRule type="expression" dxfId="466" priority="445">
      <formula>G58&gt;H58</formula>
    </cfRule>
  </conditionalFormatting>
  <conditionalFormatting sqref="I70">
    <cfRule type="expression" dxfId="465" priority="444">
      <formula>G70&gt;H70</formula>
    </cfRule>
  </conditionalFormatting>
  <conditionalFormatting sqref="I72">
    <cfRule type="expression" dxfId="464" priority="443">
      <formula>G72&gt;H72</formula>
    </cfRule>
  </conditionalFormatting>
  <conditionalFormatting sqref="I95">
    <cfRule type="expression" dxfId="463" priority="442">
      <formula>G95&gt;H95</formula>
    </cfRule>
  </conditionalFormatting>
  <conditionalFormatting sqref="I97">
    <cfRule type="expression" dxfId="462" priority="441">
      <formula>G97&gt;H97</formula>
    </cfRule>
  </conditionalFormatting>
  <conditionalFormatting sqref="I73:I74">
    <cfRule type="expression" dxfId="461" priority="440">
      <formula>G73&gt;H73</formula>
    </cfRule>
  </conditionalFormatting>
  <conditionalFormatting sqref="I75">
    <cfRule type="expression" dxfId="460" priority="439">
      <formula>G75&gt;H75</formula>
    </cfRule>
  </conditionalFormatting>
  <conditionalFormatting sqref="I77">
    <cfRule type="expression" dxfId="459" priority="438">
      <formula>G77&gt;H77</formula>
    </cfRule>
  </conditionalFormatting>
  <conditionalFormatting sqref="I78:I79">
    <cfRule type="expression" dxfId="458" priority="437">
      <formula>G78&gt;H78</formula>
    </cfRule>
  </conditionalFormatting>
  <conditionalFormatting sqref="I80">
    <cfRule type="expression" dxfId="457" priority="436">
      <formula>G80&gt;H80</formula>
    </cfRule>
  </conditionalFormatting>
  <conditionalFormatting sqref="I82">
    <cfRule type="expression" dxfId="456" priority="435">
      <formula>G82&gt;H82</formula>
    </cfRule>
  </conditionalFormatting>
  <conditionalFormatting sqref="E54">
    <cfRule type="expression" dxfId="455" priority="432">
      <formula>AND(0.75&lt;=E54,E54&lt;0.8)</formula>
    </cfRule>
    <cfRule type="expression" dxfId="454" priority="433">
      <formula>AND(0.65 &lt;= E54,E54&lt;0.75)</formula>
    </cfRule>
    <cfRule type="expression" dxfId="453" priority="434">
      <formula>E54 &lt; 0.65</formula>
    </cfRule>
  </conditionalFormatting>
  <conditionalFormatting sqref="E54">
    <cfRule type="expression" dxfId="452" priority="429">
      <formula>AND(0.75&lt;=E54,E54&lt;0.8)</formula>
    </cfRule>
    <cfRule type="expression" dxfId="451" priority="430">
      <formula>AND(0.65 &lt;= E54,E54&lt;0.75)</formula>
    </cfRule>
    <cfRule type="expression" dxfId="450" priority="431">
      <formula>E54 &lt; 0.65</formula>
    </cfRule>
  </conditionalFormatting>
  <conditionalFormatting sqref="E54">
    <cfRule type="expression" dxfId="449" priority="426">
      <formula>AND(0.75&lt;=E54,E54&lt;0.8)</formula>
    </cfRule>
    <cfRule type="expression" dxfId="448" priority="427">
      <formula>AND(0.65 &lt;= E54,E54&lt;0.75)</formula>
    </cfRule>
    <cfRule type="expression" dxfId="447" priority="428">
      <formula>E54 &lt; 0.65</formula>
    </cfRule>
  </conditionalFormatting>
  <conditionalFormatting sqref="E54">
    <cfRule type="expression" dxfId="446" priority="423">
      <formula>AND(0.75&lt;=E54,E54&lt;0.8)</formula>
    </cfRule>
    <cfRule type="expression" dxfId="445" priority="424">
      <formula>AND(0.65 &lt;= E54,E54&lt;0.75)</formula>
    </cfRule>
    <cfRule type="expression" dxfId="444" priority="425">
      <formula>E54 &lt; 0.65</formula>
    </cfRule>
  </conditionalFormatting>
  <conditionalFormatting sqref="E54">
    <cfRule type="expression" dxfId="443" priority="420">
      <formula>AND(0.75&lt;=E54,E54&lt;0.8)</formula>
    </cfRule>
    <cfRule type="expression" dxfId="442" priority="421">
      <formula>AND(0.65 &lt;= E54,E54&lt;0.75)</formula>
    </cfRule>
    <cfRule type="expression" dxfId="441" priority="422">
      <formula>E54 &lt; 0.65</formula>
    </cfRule>
  </conditionalFormatting>
  <conditionalFormatting sqref="E54">
    <cfRule type="expression" dxfId="440" priority="417">
      <formula>AND(0.75&lt;=E54,E54&lt;0.8)</formula>
    </cfRule>
    <cfRule type="expression" dxfId="439" priority="418">
      <formula>AND(0.65 &lt;= E54,E54&lt;0.75)</formula>
    </cfRule>
    <cfRule type="expression" dxfId="438" priority="419">
      <formula>E54 &lt; 0.65</formula>
    </cfRule>
  </conditionalFormatting>
  <conditionalFormatting sqref="F54:H54">
    <cfRule type="expression" dxfId="437" priority="414">
      <formula>AND(0.75&lt;=F54,F54&lt;0.8)</formula>
    </cfRule>
    <cfRule type="expression" dxfId="436" priority="415">
      <formula>AND(0.65 &lt;= F54,F54&lt;0.75)</formula>
    </cfRule>
    <cfRule type="expression" dxfId="435" priority="416">
      <formula>F54 &lt; 0.65</formula>
    </cfRule>
  </conditionalFormatting>
  <conditionalFormatting sqref="F54:H54">
    <cfRule type="expression" dxfId="434" priority="411">
      <formula>AND(0.75&lt;=F54,F54&lt;0.8)</formula>
    </cfRule>
    <cfRule type="expression" dxfId="433" priority="412">
      <formula>AND(0.65 &lt;= F54,F54&lt;0.75)</formula>
    </cfRule>
    <cfRule type="expression" dxfId="432" priority="413">
      <formula>F54 &lt; 0.65</formula>
    </cfRule>
  </conditionalFormatting>
  <conditionalFormatting sqref="F54:H54">
    <cfRule type="expression" dxfId="431" priority="408">
      <formula>AND(0.75&lt;=F54,F54&lt;0.8)</formula>
    </cfRule>
    <cfRule type="expression" dxfId="430" priority="409">
      <formula>AND(0.65 &lt;= F54,F54&lt;0.75)</formula>
    </cfRule>
    <cfRule type="expression" dxfId="429" priority="410">
      <formula>F54 &lt; 0.65</formula>
    </cfRule>
  </conditionalFormatting>
  <conditionalFormatting sqref="F54:H54">
    <cfRule type="expression" dxfId="428" priority="405">
      <formula>AND(0.75&lt;=F54,F54&lt;0.8)</formula>
    </cfRule>
    <cfRule type="expression" dxfId="427" priority="406">
      <formula>AND(0.65 &lt;= F54,F54&lt;0.75)</formula>
    </cfRule>
    <cfRule type="expression" dxfId="426" priority="407">
      <formula>F54 &lt; 0.65</formula>
    </cfRule>
  </conditionalFormatting>
  <conditionalFormatting sqref="F54:H54">
    <cfRule type="expression" dxfId="425" priority="402">
      <formula>AND(0.75&lt;=F54,F54&lt;0.8)</formula>
    </cfRule>
    <cfRule type="expression" dxfId="424" priority="403">
      <formula>AND(0.65 &lt;= F54,F54&lt;0.75)</formula>
    </cfRule>
    <cfRule type="expression" dxfId="423" priority="404">
      <formula>F54 &lt; 0.65</formula>
    </cfRule>
  </conditionalFormatting>
  <conditionalFormatting sqref="F54:H54">
    <cfRule type="expression" dxfId="422" priority="399">
      <formula>AND(0.75&lt;=F54,F54&lt;0.8)</formula>
    </cfRule>
    <cfRule type="expression" dxfId="421" priority="400">
      <formula>AND(0.65 &lt;= F54,F54&lt;0.75)</formula>
    </cfRule>
    <cfRule type="expression" dxfId="420" priority="401">
      <formula>F54 &lt; 0.65</formula>
    </cfRule>
  </conditionalFormatting>
  <conditionalFormatting sqref="F103:H103">
    <cfRule type="expression" dxfId="419" priority="396">
      <formula>AND(0.75&lt;=F103,F103&lt;0.8)</formula>
    </cfRule>
    <cfRule type="expression" dxfId="418" priority="397">
      <formula>AND(0.65 &lt;= F103,F103&lt;0.75)</formula>
    </cfRule>
    <cfRule type="expression" dxfId="417" priority="398">
      <formula>F103 &lt; 0.65</formula>
    </cfRule>
  </conditionalFormatting>
  <conditionalFormatting sqref="F103:H103">
    <cfRule type="expression" dxfId="416" priority="393">
      <formula>AND(0.75&lt;=F103,F103&lt;0.8)</formula>
    </cfRule>
    <cfRule type="expression" dxfId="415" priority="394">
      <formula>AND(0.65 &lt;= F103,F103&lt;0.75)</formula>
    </cfRule>
    <cfRule type="expression" dxfId="414" priority="395">
      <formula>F103 &lt; 0.65</formula>
    </cfRule>
  </conditionalFormatting>
  <conditionalFormatting sqref="F103:H103">
    <cfRule type="expression" dxfId="413" priority="390">
      <formula>AND(0.75&lt;=F103,F103&lt;0.8)</formula>
    </cfRule>
    <cfRule type="expression" dxfId="412" priority="391">
      <formula>AND(0.65 &lt;= F103,F103&lt;0.75)</formula>
    </cfRule>
    <cfRule type="expression" dxfId="411" priority="392">
      <formula>F103 &lt; 0.65</formula>
    </cfRule>
  </conditionalFormatting>
  <conditionalFormatting sqref="F103:H103">
    <cfRule type="expression" dxfId="410" priority="387">
      <formula>AND(0.75&lt;=F103,F103&lt;0.8)</formula>
    </cfRule>
    <cfRule type="expression" dxfId="409" priority="388">
      <formula>AND(0.65 &lt;= F103,F103&lt;0.75)</formula>
    </cfRule>
    <cfRule type="expression" dxfId="408" priority="389">
      <formula>F103 &lt; 0.65</formula>
    </cfRule>
  </conditionalFormatting>
  <conditionalFormatting sqref="F103:H103">
    <cfRule type="expression" dxfId="407" priority="384">
      <formula>AND(0.75&lt;=F103,F103&lt;0.8)</formula>
    </cfRule>
    <cfRule type="expression" dxfId="406" priority="385">
      <formula>AND(0.65 &lt;= F103,F103&lt;0.75)</formula>
    </cfRule>
    <cfRule type="expression" dxfId="405" priority="386">
      <formula>F103 &lt; 0.65</formula>
    </cfRule>
  </conditionalFormatting>
  <conditionalFormatting sqref="F103:H103">
    <cfRule type="expression" dxfId="404" priority="381">
      <formula>AND(0.75&lt;=F103,F103&lt;0.8)</formula>
    </cfRule>
    <cfRule type="expression" dxfId="403" priority="382">
      <formula>AND(0.65 &lt;= F103,F103&lt;0.75)</formula>
    </cfRule>
    <cfRule type="expression" dxfId="402" priority="383">
      <formula>F103 &lt; 0.65</formula>
    </cfRule>
  </conditionalFormatting>
  <conditionalFormatting sqref="M30:N30">
    <cfRule type="cellIs" dxfId="401" priority="184" operator="equal">
      <formula>2</formula>
    </cfRule>
  </conditionalFormatting>
  <conditionalFormatting sqref="L31">
    <cfRule type="cellIs" dxfId="400" priority="183" operator="equal">
      <formula>2</formula>
    </cfRule>
  </conditionalFormatting>
  <conditionalFormatting sqref="L65">
    <cfRule type="cellIs" dxfId="399" priority="143" operator="equal">
      <formula>2</formula>
    </cfRule>
  </conditionalFormatting>
  <conditionalFormatting sqref="L28">
    <cfRule type="cellIs" dxfId="398" priority="189" operator="equal">
      <formula>2</formula>
    </cfRule>
  </conditionalFormatting>
  <conditionalFormatting sqref="L66">
    <cfRule type="cellIs" dxfId="397" priority="141" operator="equal">
      <formula>2</formula>
    </cfRule>
  </conditionalFormatting>
  <conditionalFormatting sqref="I83:I84 I86">
    <cfRule type="expression" dxfId="396" priority="310">
      <formula>G83&gt;H83</formula>
    </cfRule>
  </conditionalFormatting>
  <conditionalFormatting sqref="I85">
    <cfRule type="expression" dxfId="395" priority="309">
      <formula>G85&gt;H85</formula>
    </cfRule>
  </conditionalFormatting>
  <conditionalFormatting sqref="I87">
    <cfRule type="expression" dxfId="394" priority="308">
      <formula>G87&gt;H87</formula>
    </cfRule>
  </conditionalFormatting>
  <conditionalFormatting sqref="M96:N96">
    <cfRule type="cellIs" dxfId="393" priority="90" operator="equal">
      <formula>2</formula>
    </cfRule>
  </conditionalFormatting>
  <conditionalFormatting sqref="L97">
    <cfRule type="cellIs" dxfId="392" priority="89" operator="equal">
      <formula>2</formula>
    </cfRule>
  </conditionalFormatting>
  <conditionalFormatting sqref="M97:N97">
    <cfRule type="cellIs" dxfId="391" priority="88" operator="equal">
      <formula>2</formula>
    </cfRule>
  </conditionalFormatting>
  <conditionalFormatting sqref="L9">
    <cfRule type="cellIs" dxfId="390" priority="287" operator="equal">
      <formula>2</formula>
    </cfRule>
  </conditionalFormatting>
  <conditionalFormatting sqref="M9:N9">
    <cfRule type="cellIs" dxfId="389" priority="286" operator="equal">
      <formula>2</formula>
    </cfRule>
  </conditionalFormatting>
  <conditionalFormatting sqref="L10">
    <cfRule type="cellIs" dxfId="388" priority="285" operator="equal">
      <formula>2</formula>
    </cfRule>
  </conditionalFormatting>
  <conditionalFormatting sqref="M10:N10">
    <cfRule type="cellIs" dxfId="387" priority="284" operator="equal">
      <formula>2</formula>
    </cfRule>
  </conditionalFormatting>
  <conditionalFormatting sqref="L11">
    <cfRule type="cellIs" dxfId="386" priority="283" operator="equal">
      <formula>2</formula>
    </cfRule>
  </conditionalFormatting>
  <conditionalFormatting sqref="M11:N11">
    <cfRule type="cellIs" dxfId="385" priority="282" operator="equal">
      <formula>2</formula>
    </cfRule>
  </conditionalFormatting>
  <conditionalFormatting sqref="L12">
    <cfRule type="cellIs" dxfId="384" priority="281" operator="equal">
      <formula>2</formula>
    </cfRule>
  </conditionalFormatting>
  <conditionalFormatting sqref="M12:N12">
    <cfRule type="cellIs" dxfId="383" priority="280" operator="equal">
      <formula>2</formula>
    </cfRule>
  </conditionalFormatting>
  <conditionalFormatting sqref="L13">
    <cfRule type="cellIs" dxfId="382" priority="279" operator="equal">
      <formula>2</formula>
    </cfRule>
  </conditionalFormatting>
  <conditionalFormatting sqref="M13:N13">
    <cfRule type="cellIs" dxfId="381" priority="278" operator="equal">
      <formula>2</formula>
    </cfRule>
  </conditionalFormatting>
  <conditionalFormatting sqref="L68">
    <cfRule type="cellIs" dxfId="380" priority="137" operator="equal">
      <formula>2</formula>
    </cfRule>
  </conditionalFormatting>
  <conditionalFormatting sqref="M68:N68">
    <cfRule type="cellIs" dxfId="379" priority="136" operator="equal">
      <formula>2</formula>
    </cfRule>
  </conditionalFormatting>
  <conditionalFormatting sqref="L69">
    <cfRule type="cellIs" dxfId="378" priority="135" operator="equal">
      <formula>2</formula>
    </cfRule>
  </conditionalFormatting>
  <conditionalFormatting sqref="M69:N69">
    <cfRule type="cellIs" dxfId="377" priority="134" operator="equal">
      <formula>2</formula>
    </cfRule>
  </conditionalFormatting>
  <conditionalFormatting sqref="L70">
    <cfRule type="cellIs" dxfId="376" priority="133" operator="equal">
      <formula>2</formula>
    </cfRule>
  </conditionalFormatting>
  <conditionalFormatting sqref="M70:N70">
    <cfRule type="cellIs" dxfId="375" priority="132" operator="equal">
      <formula>2</formula>
    </cfRule>
  </conditionalFormatting>
  <conditionalFormatting sqref="L71">
    <cfRule type="cellIs" dxfId="374" priority="131" operator="equal">
      <formula>2</formula>
    </cfRule>
  </conditionalFormatting>
  <conditionalFormatting sqref="M71:N71">
    <cfRule type="cellIs" dxfId="373" priority="130" operator="equal">
      <formula>2</formula>
    </cfRule>
  </conditionalFormatting>
  <conditionalFormatting sqref="L72">
    <cfRule type="cellIs" dxfId="372" priority="129" operator="equal">
      <formula>2</formula>
    </cfRule>
  </conditionalFormatting>
  <conditionalFormatting sqref="M72:N72">
    <cfRule type="cellIs" dxfId="371" priority="128" operator="equal">
      <formula>2</formula>
    </cfRule>
  </conditionalFormatting>
  <conditionalFormatting sqref="M94:N94">
    <cfRule type="cellIs" dxfId="370" priority="94" operator="equal">
      <formula>2</formula>
    </cfRule>
  </conditionalFormatting>
  <conditionalFormatting sqref="L95">
    <cfRule type="cellIs" dxfId="369" priority="93" operator="equal">
      <formula>2</formula>
    </cfRule>
  </conditionalFormatting>
  <conditionalFormatting sqref="M95:N95">
    <cfRule type="cellIs" dxfId="368" priority="92" operator="equal">
      <formula>2</formula>
    </cfRule>
  </conditionalFormatting>
  <conditionalFormatting sqref="L96">
    <cfRule type="cellIs" dxfId="367" priority="91" operator="equal">
      <formula>2</formula>
    </cfRule>
  </conditionalFormatting>
  <conditionalFormatting sqref="L98">
    <cfRule type="cellIs" dxfId="366" priority="87" operator="equal">
      <formula>2</formula>
    </cfRule>
  </conditionalFormatting>
  <conditionalFormatting sqref="M98:N98">
    <cfRule type="cellIs" dxfId="365" priority="86" operator="equal">
      <formula>2</formula>
    </cfRule>
  </conditionalFormatting>
  <conditionalFormatting sqref="L99">
    <cfRule type="cellIs" dxfId="364" priority="85" operator="equal">
      <formula>2</formula>
    </cfRule>
  </conditionalFormatting>
  <conditionalFormatting sqref="L14">
    <cfRule type="cellIs" dxfId="363" priority="217" operator="equal">
      <formula>2</formula>
    </cfRule>
  </conditionalFormatting>
  <conditionalFormatting sqref="M14:N14">
    <cfRule type="cellIs" dxfId="362" priority="216" operator="equal">
      <formula>2</formula>
    </cfRule>
  </conditionalFormatting>
  <conditionalFormatting sqref="L15">
    <cfRule type="cellIs" dxfId="361" priority="215" operator="equal">
      <formula>2</formula>
    </cfRule>
  </conditionalFormatting>
  <conditionalFormatting sqref="M15:N15">
    <cfRule type="cellIs" dxfId="360" priority="214" operator="equal">
      <formula>2</formula>
    </cfRule>
  </conditionalFormatting>
  <conditionalFormatting sqref="L16">
    <cfRule type="cellIs" dxfId="359" priority="213" operator="equal">
      <formula>2</formula>
    </cfRule>
  </conditionalFormatting>
  <conditionalFormatting sqref="M16:N16">
    <cfRule type="cellIs" dxfId="358" priority="212" operator="equal">
      <formula>2</formula>
    </cfRule>
  </conditionalFormatting>
  <conditionalFormatting sqref="L17">
    <cfRule type="cellIs" dxfId="357" priority="211" operator="equal">
      <formula>2</formula>
    </cfRule>
  </conditionalFormatting>
  <conditionalFormatting sqref="M17:N17">
    <cfRule type="cellIs" dxfId="356" priority="210" operator="equal">
      <formula>2</formula>
    </cfRule>
  </conditionalFormatting>
  <conditionalFormatting sqref="L18">
    <cfRule type="cellIs" dxfId="355" priority="209" operator="equal">
      <formula>2</formula>
    </cfRule>
  </conditionalFormatting>
  <conditionalFormatting sqref="M18:N18">
    <cfRule type="cellIs" dxfId="354" priority="208" operator="equal">
      <formula>2</formula>
    </cfRule>
  </conditionalFormatting>
  <conditionalFormatting sqref="L19">
    <cfRule type="cellIs" dxfId="353" priority="207" operator="equal">
      <formula>2</formula>
    </cfRule>
  </conditionalFormatting>
  <conditionalFormatting sqref="M19:N19">
    <cfRule type="cellIs" dxfId="352" priority="206" operator="equal">
      <formula>2</formula>
    </cfRule>
  </conditionalFormatting>
  <conditionalFormatting sqref="L20">
    <cfRule type="cellIs" dxfId="351" priority="205" operator="equal">
      <formula>2</formula>
    </cfRule>
  </conditionalFormatting>
  <conditionalFormatting sqref="M20:N20">
    <cfRule type="cellIs" dxfId="350" priority="204" operator="equal">
      <formula>2</formula>
    </cfRule>
  </conditionalFormatting>
  <conditionalFormatting sqref="L21">
    <cfRule type="cellIs" dxfId="349" priority="203" operator="equal">
      <formula>2</formula>
    </cfRule>
  </conditionalFormatting>
  <conditionalFormatting sqref="M21:N21">
    <cfRule type="cellIs" dxfId="348" priority="202" operator="equal">
      <formula>2</formula>
    </cfRule>
  </conditionalFormatting>
  <conditionalFormatting sqref="L22">
    <cfRule type="cellIs" dxfId="347" priority="201" operator="equal">
      <formula>2</formula>
    </cfRule>
  </conditionalFormatting>
  <conditionalFormatting sqref="M22:N22">
    <cfRule type="cellIs" dxfId="346" priority="200" operator="equal">
      <formula>2</formula>
    </cfRule>
  </conditionalFormatting>
  <conditionalFormatting sqref="L23">
    <cfRule type="cellIs" dxfId="345" priority="199" operator="equal">
      <formula>2</formula>
    </cfRule>
  </conditionalFormatting>
  <conditionalFormatting sqref="M23:N23">
    <cfRule type="cellIs" dxfId="344" priority="198" operator="equal">
      <formula>2</formula>
    </cfRule>
  </conditionalFormatting>
  <conditionalFormatting sqref="L24">
    <cfRule type="cellIs" dxfId="343" priority="197" operator="equal">
      <formula>2</formula>
    </cfRule>
  </conditionalFormatting>
  <conditionalFormatting sqref="M24:N24">
    <cfRule type="cellIs" dxfId="342" priority="196" operator="equal">
      <formula>2</formula>
    </cfRule>
  </conditionalFormatting>
  <conditionalFormatting sqref="L25">
    <cfRule type="cellIs" dxfId="341" priority="195" operator="equal">
      <formula>2</formula>
    </cfRule>
  </conditionalFormatting>
  <conditionalFormatting sqref="M25:N25">
    <cfRule type="cellIs" dxfId="340" priority="194" operator="equal">
      <formula>2</formula>
    </cfRule>
  </conditionalFormatting>
  <conditionalFormatting sqref="L26">
    <cfRule type="cellIs" dxfId="339" priority="193" operator="equal">
      <formula>2</formula>
    </cfRule>
  </conditionalFormatting>
  <conditionalFormatting sqref="M26:N26">
    <cfRule type="cellIs" dxfId="338" priority="192" operator="equal">
      <formula>2</formula>
    </cfRule>
  </conditionalFormatting>
  <conditionalFormatting sqref="L27">
    <cfRule type="cellIs" dxfId="337" priority="191" operator="equal">
      <formula>2</formula>
    </cfRule>
  </conditionalFormatting>
  <conditionalFormatting sqref="M27:N27">
    <cfRule type="cellIs" dxfId="336" priority="190" operator="equal">
      <formula>2</formula>
    </cfRule>
  </conditionalFormatting>
  <conditionalFormatting sqref="M28:N28">
    <cfRule type="cellIs" dxfId="335" priority="188" operator="equal">
      <formula>2</formula>
    </cfRule>
  </conditionalFormatting>
  <conditionalFormatting sqref="L29">
    <cfRule type="cellIs" dxfId="334" priority="187" operator="equal">
      <formula>2</formula>
    </cfRule>
  </conditionalFormatting>
  <conditionalFormatting sqref="M29:N29">
    <cfRule type="cellIs" dxfId="333" priority="186" operator="equal">
      <formula>2</formula>
    </cfRule>
  </conditionalFormatting>
  <conditionalFormatting sqref="L30">
    <cfRule type="cellIs" dxfId="332" priority="185" operator="equal">
      <formula>2</formula>
    </cfRule>
  </conditionalFormatting>
  <conditionalFormatting sqref="M31:N31">
    <cfRule type="cellIs" dxfId="331" priority="182" operator="equal">
      <formula>2</formula>
    </cfRule>
  </conditionalFormatting>
  <conditionalFormatting sqref="L32">
    <cfRule type="cellIs" dxfId="330" priority="181" operator="equal">
      <formula>2</formula>
    </cfRule>
  </conditionalFormatting>
  <conditionalFormatting sqref="M32:N32">
    <cfRule type="cellIs" dxfId="329" priority="180" operator="equal">
      <formula>2</formula>
    </cfRule>
  </conditionalFormatting>
  <conditionalFormatting sqref="L33">
    <cfRule type="cellIs" dxfId="328" priority="179" operator="equal">
      <formula>2</formula>
    </cfRule>
  </conditionalFormatting>
  <conditionalFormatting sqref="M33:N33">
    <cfRule type="cellIs" dxfId="327" priority="178" operator="equal">
      <formula>2</formula>
    </cfRule>
  </conditionalFormatting>
  <conditionalFormatting sqref="L34">
    <cfRule type="cellIs" dxfId="326" priority="177" operator="equal">
      <formula>2</formula>
    </cfRule>
  </conditionalFormatting>
  <conditionalFormatting sqref="M34:N34">
    <cfRule type="cellIs" dxfId="325" priority="176" operator="equal">
      <formula>2</formula>
    </cfRule>
  </conditionalFormatting>
  <conditionalFormatting sqref="L35">
    <cfRule type="cellIs" dxfId="324" priority="175" operator="equal">
      <formula>2</formula>
    </cfRule>
  </conditionalFormatting>
  <conditionalFormatting sqref="M35:N35">
    <cfRule type="cellIs" dxfId="323" priority="174" operator="equal">
      <formula>2</formula>
    </cfRule>
  </conditionalFormatting>
  <conditionalFormatting sqref="L36">
    <cfRule type="cellIs" dxfId="322" priority="173" operator="equal">
      <formula>2</formula>
    </cfRule>
  </conditionalFormatting>
  <conditionalFormatting sqref="M36:N36">
    <cfRule type="cellIs" dxfId="321" priority="172" operator="equal">
      <formula>2</formula>
    </cfRule>
  </conditionalFormatting>
  <conditionalFormatting sqref="L37">
    <cfRule type="cellIs" dxfId="320" priority="171" operator="equal">
      <formula>2</formula>
    </cfRule>
  </conditionalFormatting>
  <conditionalFormatting sqref="M37:N37">
    <cfRule type="cellIs" dxfId="319" priority="170" operator="equal">
      <formula>2</formula>
    </cfRule>
  </conditionalFormatting>
  <conditionalFormatting sqref="L38">
    <cfRule type="cellIs" dxfId="318" priority="169" operator="equal">
      <formula>2</formula>
    </cfRule>
  </conditionalFormatting>
  <conditionalFormatting sqref="M38:N38">
    <cfRule type="cellIs" dxfId="317" priority="168" operator="equal">
      <formula>2</formula>
    </cfRule>
  </conditionalFormatting>
  <conditionalFormatting sqref="L49">
    <cfRule type="cellIs" dxfId="316" priority="167" operator="equal">
      <formula>2</formula>
    </cfRule>
  </conditionalFormatting>
  <conditionalFormatting sqref="M49:N49">
    <cfRule type="cellIs" dxfId="315" priority="166" operator="equal">
      <formula>2</formula>
    </cfRule>
  </conditionalFormatting>
  <conditionalFormatting sqref="L50">
    <cfRule type="cellIs" dxfId="314" priority="165" operator="equal">
      <formula>2</formula>
    </cfRule>
  </conditionalFormatting>
  <conditionalFormatting sqref="M50:N50">
    <cfRule type="cellIs" dxfId="313" priority="164" operator="equal">
      <formula>2</formula>
    </cfRule>
  </conditionalFormatting>
  <conditionalFormatting sqref="L51">
    <cfRule type="cellIs" dxfId="312" priority="163" operator="equal">
      <formula>2</formula>
    </cfRule>
  </conditionalFormatting>
  <conditionalFormatting sqref="M51:N51">
    <cfRule type="cellIs" dxfId="311" priority="162" operator="equal">
      <formula>2</formula>
    </cfRule>
  </conditionalFormatting>
  <conditionalFormatting sqref="L52">
    <cfRule type="cellIs" dxfId="310" priority="161" operator="equal">
      <formula>2</formula>
    </cfRule>
  </conditionalFormatting>
  <conditionalFormatting sqref="M52:N52">
    <cfRule type="cellIs" dxfId="309" priority="160" operator="equal">
      <formula>2</formula>
    </cfRule>
  </conditionalFormatting>
  <conditionalFormatting sqref="L53">
    <cfRule type="cellIs" dxfId="308" priority="159" operator="equal">
      <formula>2</formula>
    </cfRule>
  </conditionalFormatting>
  <conditionalFormatting sqref="M53:N53">
    <cfRule type="cellIs" dxfId="307" priority="158" operator="equal">
      <formula>2</formula>
    </cfRule>
  </conditionalFormatting>
  <conditionalFormatting sqref="L58">
    <cfRule type="cellIs" dxfId="306" priority="157" operator="equal">
      <formula>2</formula>
    </cfRule>
  </conditionalFormatting>
  <conditionalFormatting sqref="M58:N58">
    <cfRule type="cellIs" dxfId="305" priority="156" operator="equal">
      <formula>2</formula>
    </cfRule>
  </conditionalFormatting>
  <conditionalFormatting sqref="L59">
    <cfRule type="cellIs" dxfId="304" priority="155" operator="equal">
      <formula>2</formula>
    </cfRule>
  </conditionalFormatting>
  <conditionalFormatting sqref="M59:N59">
    <cfRule type="cellIs" dxfId="303" priority="154" operator="equal">
      <formula>2</formula>
    </cfRule>
  </conditionalFormatting>
  <conditionalFormatting sqref="L60">
    <cfRule type="cellIs" dxfId="302" priority="153" operator="equal">
      <formula>2</formula>
    </cfRule>
  </conditionalFormatting>
  <conditionalFormatting sqref="M60:N60">
    <cfRule type="cellIs" dxfId="301" priority="152" operator="equal">
      <formula>2</formula>
    </cfRule>
  </conditionalFormatting>
  <conditionalFormatting sqref="L61">
    <cfRule type="cellIs" dxfId="300" priority="151" operator="equal">
      <formula>2</formula>
    </cfRule>
  </conditionalFormatting>
  <conditionalFormatting sqref="M61:N61">
    <cfRule type="cellIs" dxfId="299" priority="150" operator="equal">
      <formula>2</formula>
    </cfRule>
  </conditionalFormatting>
  <conditionalFormatting sqref="L62">
    <cfRule type="cellIs" dxfId="298" priority="149" operator="equal">
      <formula>2</formula>
    </cfRule>
  </conditionalFormatting>
  <conditionalFormatting sqref="M62:N62">
    <cfRule type="cellIs" dxfId="297" priority="148" operator="equal">
      <formula>2</formula>
    </cfRule>
  </conditionalFormatting>
  <conditionalFormatting sqref="L63">
    <cfRule type="cellIs" dxfId="296" priority="147" operator="equal">
      <formula>2</formula>
    </cfRule>
  </conditionalFormatting>
  <conditionalFormatting sqref="M63:N63">
    <cfRule type="cellIs" dxfId="295" priority="146" operator="equal">
      <formula>2</formula>
    </cfRule>
  </conditionalFormatting>
  <conditionalFormatting sqref="L64">
    <cfRule type="cellIs" dxfId="294" priority="145" operator="equal">
      <formula>2</formula>
    </cfRule>
  </conditionalFormatting>
  <conditionalFormatting sqref="M64:N64">
    <cfRule type="cellIs" dxfId="293" priority="144" operator="equal">
      <formula>2</formula>
    </cfRule>
  </conditionalFormatting>
  <conditionalFormatting sqref="M86:N86">
    <cfRule type="cellIs" dxfId="292" priority="100" operator="equal">
      <formula>2</formula>
    </cfRule>
  </conditionalFormatting>
  <conditionalFormatting sqref="M65:N65">
    <cfRule type="cellIs" dxfId="291" priority="142" operator="equal">
      <formula>2</formula>
    </cfRule>
  </conditionalFormatting>
  <conditionalFormatting sqref="M87:N87">
    <cfRule type="cellIs" dxfId="290" priority="98" operator="equal">
      <formula>2</formula>
    </cfRule>
  </conditionalFormatting>
  <conditionalFormatting sqref="M66:N66">
    <cfRule type="cellIs" dxfId="289" priority="140" operator="equal">
      <formula>2</formula>
    </cfRule>
  </conditionalFormatting>
  <conditionalFormatting sqref="L67">
    <cfRule type="cellIs" dxfId="288" priority="139" operator="equal">
      <formula>2</formula>
    </cfRule>
  </conditionalFormatting>
  <conditionalFormatting sqref="M67:N67">
    <cfRule type="cellIs" dxfId="287" priority="138" operator="equal">
      <formula>2</formula>
    </cfRule>
  </conditionalFormatting>
  <conditionalFormatting sqref="L73">
    <cfRule type="cellIs" dxfId="286" priority="127" operator="equal">
      <formula>2</formula>
    </cfRule>
  </conditionalFormatting>
  <conditionalFormatting sqref="M73:N73">
    <cfRule type="cellIs" dxfId="285" priority="126" operator="equal">
      <formula>2</formula>
    </cfRule>
  </conditionalFormatting>
  <conditionalFormatting sqref="L74">
    <cfRule type="cellIs" dxfId="284" priority="125" operator="equal">
      <formula>2</formula>
    </cfRule>
  </conditionalFormatting>
  <conditionalFormatting sqref="M74:N74">
    <cfRule type="cellIs" dxfId="283" priority="124" operator="equal">
      <formula>2</formula>
    </cfRule>
  </conditionalFormatting>
  <conditionalFormatting sqref="L75">
    <cfRule type="cellIs" dxfId="282" priority="123" operator="equal">
      <formula>2</formula>
    </cfRule>
  </conditionalFormatting>
  <conditionalFormatting sqref="M75:N75">
    <cfRule type="cellIs" dxfId="281" priority="122" operator="equal">
      <formula>2</formula>
    </cfRule>
  </conditionalFormatting>
  <conditionalFormatting sqref="L76">
    <cfRule type="cellIs" dxfId="280" priority="121" operator="equal">
      <formula>2</formula>
    </cfRule>
  </conditionalFormatting>
  <conditionalFormatting sqref="M76:N76">
    <cfRule type="cellIs" dxfId="279" priority="120" operator="equal">
      <formula>2</formula>
    </cfRule>
  </conditionalFormatting>
  <conditionalFormatting sqref="L77">
    <cfRule type="cellIs" dxfId="278" priority="119" operator="equal">
      <formula>2</formula>
    </cfRule>
  </conditionalFormatting>
  <conditionalFormatting sqref="M77:N77">
    <cfRule type="cellIs" dxfId="277" priority="118" operator="equal">
      <formula>2</formula>
    </cfRule>
  </conditionalFormatting>
  <conditionalFormatting sqref="L78">
    <cfRule type="cellIs" dxfId="276" priority="117" operator="equal">
      <formula>2</formula>
    </cfRule>
  </conditionalFormatting>
  <conditionalFormatting sqref="M78:N78">
    <cfRule type="cellIs" dxfId="275" priority="116" operator="equal">
      <formula>2</formula>
    </cfRule>
  </conditionalFormatting>
  <conditionalFormatting sqref="L79">
    <cfRule type="cellIs" dxfId="274" priority="115" operator="equal">
      <formula>2</formula>
    </cfRule>
  </conditionalFormatting>
  <conditionalFormatting sqref="M79:N79">
    <cfRule type="cellIs" dxfId="273" priority="114" operator="equal">
      <formula>2</formula>
    </cfRule>
  </conditionalFormatting>
  <conditionalFormatting sqref="L80">
    <cfRule type="cellIs" dxfId="272" priority="113" operator="equal">
      <formula>2</formula>
    </cfRule>
  </conditionalFormatting>
  <conditionalFormatting sqref="M80:N80">
    <cfRule type="cellIs" dxfId="271" priority="112" operator="equal">
      <formula>2</formula>
    </cfRule>
  </conditionalFormatting>
  <conditionalFormatting sqref="L81">
    <cfRule type="cellIs" dxfId="270" priority="111" operator="equal">
      <formula>2</formula>
    </cfRule>
  </conditionalFormatting>
  <conditionalFormatting sqref="M81:N81">
    <cfRule type="cellIs" dxfId="269" priority="110" operator="equal">
      <formula>2</formula>
    </cfRule>
  </conditionalFormatting>
  <conditionalFormatting sqref="L82">
    <cfRule type="cellIs" dxfId="268" priority="109" operator="equal">
      <formula>2</formula>
    </cfRule>
  </conditionalFormatting>
  <conditionalFormatting sqref="M82:N82">
    <cfRule type="cellIs" dxfId="267" priority="108" operator="equal">
      <formula>2</formula>
    </cfRule>
  </conditionalFormatting>
  <conditionalFormatting sqref="L83">
    <cfRule type="cellIs" dxfId="266" priority="107" operator="equal">
      <formula>2</formula>
    </cfRule>
  </conditionalFormatting>
  <conditionalFormatting sqref="M83:N83">
    <cfRule type="cellIs" dxfId="265" priority="106" operator="equal">
      <formula>2</formula>
    </cfRule>
  </conditionalFormatting>
  <conditionalFormatting sqref="L84">
    <cfRule type="cellIs" dxfId="264" priority="105" operator="equal">
      <formula>2</formula>
    </cfRule>
  </conditionalFormatting>
  <conditionalFormatting sqref="M84:N84">
    <cfRule type="cellIs" dxfId="263" priority="104" operator="equal">
      <formula>2</formula>
    </cfRule>
  </conditionalFormatting>
  <conditionalFormatting sqref="L85">
    <cfRule type="cellIs" dxfId="262" priority="103" operator="equal">
      <formula>2</formula>
    </cfRule>
  </conditionalFormatting>
  <conditionalFormatting sqref="M85:N85">
    <cfRule type="cellIs" dxfId="261" priority="102" operator="equal">
      <formula>2</formula>
    </cfRule>
  </conditionalFormatting>
  <conditionalFormatting sqref="L86">
    <cfRule type="cellIs" dxfId="260" priority="101" operator="equal">
      <formula>2</formula>
    </cfRule>
  </conditionalFormatting>
  <conditionalFormatting sqref="L87">
    <cfRule type="cellIs" dxfId="259" priority="99" operator="equal">
      <formula>2</formula>
    </cfRule>
  </conditionalFormatting>
  <conditionalFormatting sqref="L93">
    <cfRule type="cellIs" dxfId="258" priority="97" operator="equal">
      <formula>2</formula>
    </cfRule>
  </conditionalFormatting>
  <conditionalFormatting sqref="M93:N93">
    <cfRule type="cellIs" dxfId="257" priority="96" operator="equal">
      <formula>2</formula>
    </cfRule>
  </conditionalFormatting>
  <conditionalFormatting sqref="L94">
    <cfRule type="cellIs" dxfId="256" priority="95" operator="equal">
      <formula>2</formula>
    </cfRule>
  </conditionalFormatting>
  <conditionalFormatting sqref="M42:N42">
    <cfRule type="cellIs" dxfId="255" priority="47" operator="equal">
      <formula>2</formula>
    </cfRule>
  </conditionalFormatting>
  <conditionalFormatting sqref="L43">
    <cfRule type="cellIs" dxfId="254" priority="46" operator="equal">
      <formula>2</formula>
    </cfRule>
  </conditionalFormatting>
  <conditionalFormatting sqref="M43:N43">
    <cfRule type="cellIs" dxfId="253" priority="45" operator="equal">
      <formula>2</formula>
    </cfRule>
  </conditionalFormatting>
  <conditionalFormatting sqref="M99:N99">
    <cfRule type="cellIs" dxfId="252" priority="84" operator="equal">
      <formula>2</formula>
    </cfRule>
  </conditionalFormatting>
  <conditionalFormatting sqref="L100">
    <cfRule type="cellIs" dxfId="251" priority="83" operator="equal">
      <formula>2</formula>
    </cfRule>
  </conditionalFormatting>
  <conditionalFormatting sqref="M100:N100">
    <cfRule type="cellIs" dxfId="250" priority="82" operator="equal">
      <formula>2</formula>
    </cfRule>
  </conditionalFormatting>
  <conditionalFormatting sqref="L101">
    <cfRule type="cellIs" dxfId="249" priority="81" operator="equal">
      <formula>2</formula>
    </cfRule>
  </conditionalFormatting>
  <conditionalFormatting sqref="M101:N101">
    <cfRule type="cellIs" dxfId="248" priority="80" operator="equal">
      <formula>2</formula>
    </cfRule>
  </conditionalFormatting>
  <conditionalFormatting sqref="L102">
    <cfRule type="cellIs" dxfId="247" priority="79" operator="equal">
      <formula>2</formula>
    </cfRule>
  </conditionalFormatting>
  <conditionalFormatting sqref="M102:N102">
    <cfRule type="cellIs" dxfId="246" priority="78" operator="equal">
      <formula>2</formula>
    </cfRule>
  </conditionalFormatting>
  <conditionalFormatting sqref="I42 I47">
    <cfRule type="expression" dxfId="245" priority="77">
      <formula>G42&gt;H42</formula>
    </cfRule>
  </conditionalFormatting>
  <conditionalFormatting sqref="I39:I40">
    <cfRule type="expression" dxfId="244" priority="76">
      <formula>G39&gt;H39</formula>
    </cfRule>
  </conditionalFormatting>
  <conditionalFormatting sqref="I41">
    <cfRule type="expression" dxfId="243" priority="75">
      <formula>G41&gt;H41</formula>
    </cfRule>
  </conditionalFormatting>
  <conditionalFormatting sqref="I43">
    <cfRule type="expression" dxfId="242" priority="74">
      <formula>G43&gt;H43</formula>
    </cfRule>
  </conditionalFormatting>
  <conditionalFormatting sqref="I44:I45">
    <cfRule type="expression" dxfId="241" priority="73">
      <formula>G44&gt;H44</formula>
    </cfRule>
  </conditionalFormatting>
  <conditionalFormatting sqref="I46">
    <cfRule type="expression" dxfId="240" priority="72">
      <formula>G46&gt;H46</formula>
    </cfRule>
  </conditionalFormatting>
  <conditionalFormatting sqref="I48">
    <cfRule type="expression" dxfId="239" priority="71">
      <formula>G48&gt;H48</formula>
    </cfRule>
  </conditionalFormatting>
  <conditionalFormatting sqref="L39">
    <cfRule type="cellIs" dxfId="238" priority="54" operator="equal">
      <formula>2</formula>
    </cfRule>
  </conditionalFormatting>
  <conditionalFormatting sqref="M39:N39">
    <cfRule type="cellIs" dxfId="237" priority="53" operator="equal">
      <formula>2</formula>
    </cfRule>
  </conditionalFormatting>
  <conditionalFormatting sqref="L40">
    <cfRule type="cellIs" dxfId="236" priority="52" operator="equal">
      <formula>2</formula>
    </cfRule>
  </conditionalFormatting>
  <conditionalFormatting sqref="M40:N40">
    <cfRule type="cellIs" dxfId="235" priority="51" operator="equal">
      <formula>2</formula>
    </cfRule>
  </conditionalFormatting>
  <conditionalFormatting sqref="L41">
    <cfRule type="cellIs" dxfId="234" priority="50" operator="equal">
      <formula>2</formula>
    </cfRule>
  </conditionalFormatting>
  <conditionalFormatting sqref="M41:N41">
    <cfRule type="cellIs" dxfId="233" priority="49" operator="equal">
      <formula>2</formula>
    </cfRule>
  </conditionalFormatting>
  <conditionalFormatting sqref="L42">
    <cfRule type="cellIs" dxfId="232" priority="48" operator="equal">
      <formula>2</formula>
    </cfRule>
  </conditionalFormatting>
  <conditionalFormatting sqref="L44">
    <cfRule type="cellIs" dxfId="231" priority="44" operator="equal">
      <formula>2</formula>
    </cfRule>
  </conditionalFormatting>
  <conditionalFormatting sqref="M44:N44">
    <cfRule type="cellIs" dxfId="230" priority="43" operator="equal">
      <formula>2</formula>
    </cfRule>
  </conditionalFormatting>
  <conditionalFormatting sqref="L45">
    <cfRule type="cellIs" dxfId="229" priority="42" operator="equal">
      <formula>2</formula>
    </cfRule>
  </conditionalFormatting>
  <conditionalFormatting sqref="M45:N45">
    <cfRule type="cellIs" dxfId="228" priority="41" operator="equal">
      <formula>2</formula>
    </cfRule>
  </conditionalFormatting>
  <conditionalFormatting sqref="L46">
    <cfRule type="cellIs" dxfId="227" priority="40" operator="equal">
      <formula>2</formula>
    </cfRule>
  </conditionalFormatting>
  <conditionalFormatting sqref="M46:N46">
    <cfRule type="cellIs" dxfId="226" priority="39" operator="equal">
      <formula>2</formula>
    </cfRule>
  </conditionalFormatting>
  <conditionalFormatting sqref="L47">
    <cfRule type="cellIs" dxfId="225" priority="38" operator="equal">
      <formula>2</formula>
    </cfRule>
  </conditionalFormatting>
  <conditionalFormatting sqref="M47:N47">
    <cfRule type="cellIs" dxfId="224" priority="37" operator="equal">
      <formula>2</formula>
    </cfRule>
  </conditionalFormatting>
  <conditionalFormatting sqref="L48">
    <cfRule type="cellIs" dxfId="223" priority="36" operator="equal">
      <formula>2</formula>
    </cfRule>
  </conditionalFormatting>
  <conditionalFormatting sqref="M48:N48">
    <cfRule type="cellIs" dxfId="222" priority="35" operator="equal">
      <formula>2</formula>
    </cfRule>
  </conditionalFormatting>
  <conditionalFormatting sqref="I88:I89 I91">
    <cfRule type="expression" dxfId="221" priority="34">
      <formula>G88&gt;H88</formula>
    </cfRule>
  </conditionalFormatting>
  <conditionalFormatting sqref="I90">
    <cfRule type="expression" dxfId="220" priority="33">
      <formula>G90&gt;H90</formula>
    </cfRule>
  </conditionalFormatting>
  <conditionalFormatting sqref="I92">
    <cfRule type="expression" dxfId="219" priority="32">
      <formula>G92&gt;H92</formula>
    </cfRule>
  </conditionalFormatting>
  <conditionalFormatting sqref="M91:N91">
    <cfRule type="cellIs" dxfId="218" priority="8" operator="equal">
      <formula>2</formula>
    </cfRule>
  </conditionalFormatting>
  <conditionalFormatting sqref="L92">
    <cfRule type="cellIs" dxfId="217" priority="7" operator="equal">
      <formula>2</formula>
    </cfRule>
  </conditionalFormatting>
  <conditionalFormatting sqref="M92:N92">
    <cfRule type="cellIs" dxfId="216" priority="6" operator="equal">
      <formula>2</formula>
    </cfRule>
  </conditionalFormatting>
  <conditionalFormatting sqref="M89:N89">
    <cfRule type="cellIs" dxfId="215" priority="12" operator="equal">
      <formula>2</formula>
    </cfRule>
  </conditionalFormatting>
  <conditionalFormatting sqref="L90">
    <cfRule type="cellIs" dxfId="214" priority="11" operator="equal">
      <formula>2</formula>
    </cfRule>
  </conditionalFormatting>
  <conditionalFormatting sqref="M90:N90">
    <cfRule type="cellIs" dxfId="213" priority="10" operator="equal">
      <formula>2</formula>
    </cfRule>
  </conditionalFormatting>
  <conditionalFormatting sqref="L91">
    <cfRule type="cellIs" dxfId="212" priority="9" operator="equal">
      <formula>2</formula>
    </cfRule>
  </conditionalFormatting>
  <conditionalFormatting sqref="L88">
    <cfRule type="cellIs" dxfId="211" priority="15" operator="equal">
      <formula>2</formula>
    </cfRule>
  </conditionalFormatting>
  <conditionalFormatting sqref="M88:N88">
    <cfRule type="cellIs" dxfId="210" priority="14" operator="equal">
      <formula>2</formula>
    </cfRule>
  </conditionalFormatting>
  <conditionalFormatting sqref="L89">
    <cfRule type="cellIs" dxfId="209" priority="13" operator="equal">
      <formula>2</formula>
    </cfRule>
  </conditionalFormatting>
  <conditionalFormatting sqref="E9:H53 E58:H102">
    <cfRule type="expression" dxfId="208" priority="1">
      <formula>E9=""</formula>
    </cfRule>
    <cfRule type="expression" dxfId="207" priority="2">
      <formula>E9&lt;0.65</formula>
    </cfRule>
    <cfRule type="expression" dxfId="206" priority="3">
      <formula>E9&lt;0.75</formula>
    </cfRule>
    <cfRule type="expression" dxfId="205" priority="4">
      <formula>E9&lt;0.8</formula>
    </cfRule>
    <cfRule type="expression" dxfId="204" priority="5">
      <formula>E9&lt;0.85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106"/>
  <sheetViews>
    <sheetView view="pageBreakPreview" zoomScale="115" zoomScaleNormal="85" zoomScaleSheetLayoutView="115" zoomScalePageLayoutView="85" workbookViewId="0">
      <selection activeCell="E58" sqref="E58:G93"/>
    </sheetView>
  </sheetViews>
  <sheetFormatPr defaultRowHeight="11.2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9" ht="17.25">
      <c r="C1" s="121" t="s">
        <v>3</v>
      </c>
      <c r="D1" s="121"/>
      <c r="E1" s="121"/>
      <c r="F1" s="121"/>
    </row>
    <row r="2" spans="1:19" ht="12" thickBot="1">
      <c r="C2" s="1"/>
      <c r="D2" s="1"/>
      <c r="G2" s="4" t="s">
        <v>8</v>
      </c>
    </row>
    <row r="3" spans="1:19" s="2" customFormat="1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22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19" s="2" customFormat="1" ht="12" thickBot="1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558.6</v>
      </c>
      <c r="L4" s="70">
        <f>COUNTIF(L$9:L$53,"=3")</f>
        <v>18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19">
      <c r="G5" s="69" t="s">
        <v>24</v>
      </c>
      <c r="I5" s="3" t="s">
        <v>7</v>
      </c>
    </row>
    <row r="6" spans="1:19" ht="12" thickBot="1">
      <c r="E6" s="9"/>
      <c r="F6" s="9"/>
      <c r="I6" s="3"/>
    </row>
    <row r="7" spans="1:19" ht="12" thickBot="1">
      <c r="B7" s="70" t="s">
        <v>155</v>
      </c>
      <c r="J7" s="22" t="s">
        <v>14</v>
      </c>
      <c r="L7" s="70" t="s">
        <v>18</v>
      </c>
    </row>
    <row r="8" spans="1:19" ht="12" thickBot="1">
      <c r="A8" s="64" t="s">
        <v>11</v>
      </c>
      <c r="B8" s="65" t="s">
        <v>0</v>
      </c>
      <c r="C8" s="66" t="s">
        <v>1</v>
      </c>
      <c r="D8" s="66" t="s">
        <v>2</v>
      </c>
      <c r="E8" s="67">
        <v>43764</v>
      </c>
      <c r="F8" s="68">
        <v>43771</v>
      </c>
      <c r="G8" s="68">
        <v>43778</v>
      </c>
      <c r="H8" s="60">
        <f>G8+7</f>
        <v>43785</v>
      </c>
      <c r="I8" s="14" t="s">
        <v>13</v>
      </c>
      <c r="J8" s="23">
        <f>H8</f>
        <v>43785</v>
      </c>
      <c r="L8" s="70">
        <v>4</v>
      </c>
      <c r="M8" s="70">
        <v>10</v>
      </c>
      <c r="N8" s="70">
        <v>1</v>
      </c>
      <c r="O8" s="72" t="s">
        <v>22</v>
      </c>
    </row>
    <row r="9" spans="1:19">
      <c r="A9" s="32">
        <v>1</v>
      </c>
      <c r="B9" s="34">
        <v>18320</v>
      </c>
      <c r="C9" s="39" t="s">
        <v>157</v>
      </c>
      <c r="D9" s="39" t="s">
        <v>158</v>
      </c>
      <c r="E9" s="55">
        <v>0.86234493797519007</v>
      </c>
      <c r="F9" s="55">
        <v>0.8678955453149001</v>
      </c>
      <c r="G9" s="55">
        <v>0.84858630952380942</v>
      </c>
      <c r="H9" s="52">
        <f>VLOOKUP(B9,出席状況!$A$1:$D$137,4,FALSE)</f>
        <v>0.85427855352667381</v>
      </c>
      <c r="I9" s="49" t="str">
        <f t="shared" ref="I9:I54" si="0">IF(G9&lt;H9,$I$3,IF(G9=H9,$I$4,$I$5))</f>
        <v>↑</v>
      </c>
      <c r="J9" s="25">
        <f>IF(B9="","",VLOOKUP(B9,出席状況!$A$1:$D$136,3,FALSE))</f>
        <v>81.40000000000002</v>
      </c>
      <c r="L9" s="74">
        <v>3</v>
      </c>
      <c r="M9" s="74"/>
      <c r="N9" s="74"/>
      <c r="R9" s="81" t="s">
        <v>25</v>
      </c>
      <c r="S9" s="70">
        <f>VALUE(MID(R9,1,1))</f>
        <v>3</v>
      </c>
    </row>
    <row r="10" spans="1:19">
      <c r="A10" s="18">
        <f>A9+1</f>
        <v>2</v>
      </c>
      <c r="B10" s="35">
        <v>18322</v>
      </c>
      <c r="C10" s="40" t="s">
        <v>159</v>
      </c>
      <c r="D10" s="40" t="s">
        <v>160</v>
      </c>
      <c r="E10" s="46">
        <v>0.94157663065226094</v>
      </c>
      <c r="F10" s="46">
        <v>0.94393241167434716</v>
      </c>
      <c r="G10" s="46">
        <v>0.93601190476190477</v>
      </c>
      <c r="H10" s="47">
        <f>VLOOKUP(B10,出席状況!$A$1:$D$137,4,FALSE)</f>
        <v>0.93841747225205874</v>
      </c>
      <c r="I10" s="61" t="str">
        <f t="shared" si="0"/>
        <v>↑</v>
      </c>
      <c r="J10" s="26">
        <f>IF(B10="","",VLOOKUP(B10,出席状況!$A$1:$D$136,3,FALSE))</f>
        <v>34.4</v>
      </c>
      <c r="L10" s="75">
        <v>3</v>
      </c>
      <c r="M10" s="75"/>
      <c r="N10" s="75"/>
      <c r="R10" s="81" t="s">
        <v>25</v>
      </c>
      <c r="S10" s="70">
        <f t="shared" ref="S10:S48" si="1">VALUE(MID(R10,1,1))</f>
        <v>3</v>
      </c>
    </row>
    <row r="11" spans="1:19">
      <c r="A11" s="18">
        <f t="shared" ref="A11:A53" si="2">A10+1</f>
        <v>3</v>
      </c>
      <c r="B11" s="35">
        <v>18325</v>
      </c>
      <c r="C11" s="40" t="s">
        <v>161</v>
      </c>
      <c r="D11" s="40" t="s">
        <v>162</v>
      </c>
      <c r="E11" s="46">
        <v>0.92036814725890359</v>
      </c>
      <c r="F11" s="46">
        <v>0.92357910906298002</v>
      </c>
      <c r="G11" s="46">
        <v>0.88690476190476186</v>
      </c>
      <c r="H11" s="47">
        <f>VLOOKUP(B11,出席状況!$A$1:$D$137,4,FALSE)</f>
        <v>0.891156462585034</v>
      </c>
      <c r="I11" s="61" t="str">
        <f t="shared" si="0"/>
        <v>↑</v>
      </c>
      <c r="J11" s="26">
        <f>IF(B11="","",VLOOKUP(B11,出席状況!$A$1:$D$136,3,FALSE))</f>
        <v>60.8</v>
      </c>
      <c r="L11" s="75">
        <v>3</v>
      </c>
      <c r="M11" s="75"/>
      <c r="N11" s="75"/>
      <c r="R11" s="81" t="s">
        <v>25</v>
      </c>
      <c r="S11" s="70">
        <f t="shared" si="1"/>
        <v>3</v>
      </c>
    </row>
    <row r="12" spans="1:19">
      <c r="A12" s="18">
        <f t="shared" si="2"/>
        <v>4</v>
      </c>
      <c r="B12" s="35">
        <v>18333</v>
      </c>
      <c r="C12" s="40" t="s">
        <v>163</v>
      </c>
      <c r="D12" s="40" t="s">
        <v>164</v>
      </c>
      <c r="E12" s="46">
        <v>0.78991596638655459</v>
      </c>
      <c r="F12" s="46">
        <v>0.79838709677419362</v>
      </c>
      <c r="G12" s="46">
        <v>0.78125</v>
      </c>
      <c r="H12" s="47">
        <f>VLOOKUP(B12,出席状況!$A$1:$D$137,4,FALSE)</f>
        <v>0.78947368421052633</v>
      </c>
      <c r="I12" s="61" t="str">
        <f t="shared" si="0"/>
        <v>↑</v>
      </c>
      <c r="J12" s="26">
        <f>IF(B12="","",VLOOKUP(B12,出席状況!$A$1:$D$136,3,FALSE))</f>
        <v>117.60000000000001</v>
      </c>
      <c r="L12" s="75">
        <v>3</v>
      </c>
      <c r="M12" s="75"/>
      <c r="N12" s="75"/>
      <c r="R12" s="81" t="s">
        <v>25</v>
      </c>
      <c r="S12" s="70">
        <f t="shared" si="1"/>
        <v>3</v>
      </c>
    </row>
    <row r="13" spans="1:19">
      <c r="A13" s="19">
        <f t="shared" si="2"/>
        <v>5</v>
      </c>
      <c r="B13" s="36">
        <v>18339</v>
      </c>
      <c r="C13" s="41" t="s">
        <v>165</v>
      </c>
      <c r="D13" s="41" t="s">
        <v>166</v>
      </c>
      <c r="E13" s="56">
        <v>0.85754301720688275</v>
      </c>
      <c r="F13" s="56">
        <v>0.86328725038402465</v>
      </c>
      <c r="G13" s="56">
        <v>0.85974702380952384</v>
      </c>
      <c r="H13" s="53">
        <f>VLOOKUP(B13,出席状況!$A$1:$D$137,4,FALSE)</f>
        <v>0.86501969208736129</v>
      </c>
      <c r="I13" s="62" t="str">
        <f t="shared" si="0"/>
        <v>↑</v>
      </c>
      <c r="J13" s="27">
        <f>IF(B13="","",VLOOKUP(B13,出席状況!$A$1:$D$136,3,FALSE))</f>
        <v>75.400000000000006</v>
      </c>
      <c r="L13" s="76">
        <v>3</v>
      </c>
      <c r="M13" s="76"/>
      <c r="N13" s="76"/>
      <c r="R13" s="81" t="s">
        <v>25</v>
      </c>
      <c r="S13" s="70">
        <f t="shared" si="1"/>
        <v>3</v>
      </c>
    </row>
    <row r="14" spans="1:19">
      <c r="A14" s="20">
        <f t="shared" si="2"/>
        <v>6</v>
      </c>
      <c r="B14" s="37">
        <v>18340</v>
      </c>
      <c r="C14" s="42" t="s">
        <v>167</v>
      </c>
      <c r="D14" s="42" t="s">
        <v>168</v>
      </c>
      <c r="E14" s="57">
        <v>0.82192877150860344</v>
      </c>
      <c r="F14" s="57">
        <v>0.82910906298003073</v>
      </c>
      <c r="G14" s="57">
        <v>0.82663690476190477</v>
      </c>
      <c r="H14" s="54">
        <f>VLOOKUP(B14,出席状況!$A$1:$D$137,4,FALSE)</f>
        <v>0.8331543143573219</v>
      </c>
      <c r="I14" s="51" t="str">
        <f t="shared" si="0"/>
        <v>↑</v>
      </c>
      <c r="J14" s="28">
        <f>IF(B14="","",VLOOKUP(B14,出席状況!$A$1:$D$136,3,FALSE))</f>
        <v>93.2</v>
      </c>
      <c r="L14" s="74">
        <v>3</v>
      </c>
      <c r="M14" s="74"/>
      <c r="N14" s="74"/>
      <c r="R14" s="81" t="s">
        <v>25</v>
      </c>
      <c r="S14" s="70">
        <f t="shared" si="1"/>
        <v>3</v>
      </c>
    </row>
    <row r="15" spans="1:19">
      <c r="A15" s="18">
        <f t="shared" si="2"/>
        <v>7</v>
      </c>
      <c r="B15" s="35">
        <v>18353</v>
      </c>
      <c r="C15" s="40" t="s">
        <v>169</v>
      </c>
      <c r="D15" s="40" t="s">
        <v>170</v>
      </c>
      <c r="E15" s="46">
        <v>0.84953981592637062</v>
      </c>
      <c r="F15" s="46">
        <v>0.85560675883256521</v>
      </c>
      <c r="G15" s="46">
        <v>0.84672619047619047</v>
      </c>
      <c r="H15" s="47">
        <f>VLOOKUP(B15,出席状況!$A$1:$D$137,4,FALSE)</f>
        <v>0.85248836376655923</v>
      </c>
      <c r="I15" s="61" t="str">
        <f t="shared" si="0"/>
        <v>↑</v>
      </c>
      <c r="J15" s="26">
        <f>IF(B15="","",VLOOKUP(B15,出席状況!$A$1:$D$136,3,FALSE))</f>
        <v>82.40000000000002</v>
      </c>
      <c r="L15" s="75">
        <v>2</v>
      </c>
      <c r="M15" s="75"/>
      <c r="N15" s="75"/>
      <c r="R15" s="80" t="s">
        <v>26</v>
      </c>
      <c r="S15" s="70">
        <f t="shared" si="1"/>
        <v>2</v>
      </c>
    </row>
    <row r="16" spans="1:19">
      <c r="A16" s="18">
        <f t="shared" si="2"/>
        <v>8</v>
      </c>
      <c r="B16" s="35">
        <v>18381</v>
      </c>
      <c r="C16" s="40" t="s">
        <v>171</v>
      </c>
      <c r="D16" s="40" t="s">
        <v>172</v>
      </c>
      <c r="E16" s="46">
        <v>0.8803521408563425</v>
      </c>
      <c r="F16" s="46">
        <v>0.88517665130568357</v>
      </c>
      <c r="G16" s="46">
        <v>0.88876488095238093</v>
      </c>
      <c r="H16" s="47">
        <f>VLOOKUP(B16,出席状況!$A$1:$D$137,4,FALSE)</f>
        <v>0.89294665234514858</v>
      </c>
      <c r="I16" s="61" t="str">
        <f t="shared" si="0"/>
        <v>↑</v>
      </c>
      <c r="J16" s="26">
        <f>IF(B16="","",VLOOKUP(B16,出席状況!$A$1:$D$136,3,FALSE))</f>
        <v>59.800000000000004</v>
      </c>
      <c r="L16" s="75">
        <v>3</v>
      </c>
      <c r="M16" s="75"/>
      <c r="N16" s="75"/>
      <c r="R16" s="81" t="s">
        <v>25</v>
      </c>
      <c r="S16" s="70">
        <f t="shared" si="1"/>
        <v>3</v>
      </c>
    </row>
    <row r="17" spans="1:19">
      <c r="A17" s="18">
        <f t="shared" si="2"/>
        <v>9</v>
      </c>
      <c r="B17" s="35">
        <v>18389</v>
      </c>
      <c r="C17" s="40" t="s">
        <v>173</v>
      </c>
      <c r="D17" s="40" t="s">
        <v>174</v>
      </c>
      <c r="E17" s="46">
        <v>0.76710684273709473</v>
      </c>
      <c r="F17" s="46">
        <v>0.77649769585253459</v>
      </c>
      <c r="G17" s="46">
        <v>0.77380952380952372</v>
      </c>
      <c r="H17" s="47">
        <f>VLOOKUP(B17,出席状況!$A$1:$D$137,4,FALSE)</f>
        <v>0.78231292517006801</v>
      </c>
      <c r="I17" s="61" t="str">
        <f t="shared" si="0"/>
        <v>↑</v>
      </c>
      <c r="J17" s="26">
        <f>IF(B17="","",VLOOKUP(B17,出席状況!$A$1:$D$136,3,FALSE))</f>
        <v>121.6</v>
      </c>
      <c r="L17" s="75">
        <v>3</v>
      </c>
      <c r="M17" s="75"/>
      <c r="N17" s="75"/>
      <c r="R17" s="81" t="s">
        <v>25</v>
      </c>
      <c r="S17" s="70">
        <f t="shared" si="1"/>
        <v>3</v>
      </c>
    </row>
    <row r="18" spans="1:19">
      <c r="A18" s="19">
        <f t="shared" si="2"/>
        <v>10</v>
      </c>
      <c r="B18" s="36">
        <v>18436</v>
      </c>
      <c r="C18" s="41" t="s">
        <v>175</v>
      </c>
      <c r="D18" s="41" t="s">
        <v>176</v>
      </c>
      <c r="E18" s="56">
        <v>0.84273709483793513</v>
      </c>
      <c r="F18" s="56">
        <v>0.84907834101382484</v>
      </c>
      <c r="G18" s="56">
        <v>0.8381696428571429</v>
      </c>
      <c r="H18" s="53">
        <f>VLOOKUP(B18,出席状況!$A$1:$D$137,4,FALSE)</f>
        <v>0.84425349087003221</v>
      </c>
      <c r="I18" s="62" t="str">
        <f t="shared" si="0"/>
        <v>↑</v>
      </c>
      <c r="J18" s="27">
        <f>IF(B18="","",VLOOKUP(B18,出席状況!$A$1:$D$136,3,FALSE))</f>
        <v>87.000000000000014</v>
      </c>
      <c r="L18" s="76">
        <v>3</v>
      </c>
      <c r="M18" s="76"/>
      <c r="N18" s="76"/>
      <c r="R18" s="81" t="s">
        <v>25</v>
      </c>
      <c r="S18" s="70">
        <f t="shared" si="1"/>
        <v>3</v>
      </c>
    </row>
    <row r="19" spans="1:19">
      <c r="A19" s="20">
        <f t="shared" si="2"/>
        <v>11</v>
      </c>
      <c r="B19" s="37">
        <v>18439</v>
      </c>
      <c r="C19" s="42" t="s">
        <v>177</v>
      </c>
      <c r="D19" s="42" t="s">
        <v>178</v>
      </c>
      <c r="E19" s="57">
        <v>0.80152060824329729</v>
      </c>
      <c r="F19" s="57">
        <v>0.80952380952380942</v>
      </c>
      <c r="G19" s="57">
        <v>0.77641369047619035</v>
      </c>
      <c r="H19" s="54">
        <f>VLOOKUP(B19,出席状況!$A$1:$D$137,4,FALSE)</f>
        <v>0.78481919083422835</v>
      </c>
      <c r="I19" s="51" t="str">
        <f t="shared" si="0"/>
        <v>↑</v>
      </c>
      <c r="J19" s="28">
        <f>IF(B19="","",VLOOKUP(B19,出席状況!$A$1:$D$136,3,FALSE))</f>
        <v>120.20000000000002</v>
      </c>
      <c r="L19" s="74">
        <v>3</v>
      </c>
      <c r="M19" s="74"/>
      <c r="N19" s="74"/>
      <c r="R19" s="81" t="s">
        <v>25</v>
      </c>
      <c r="S19" s="70">
        <f t="shared" si="1"/>
        <v>3</v>
      </c>
    </row>
    <row r="20" spans="1:19" ht="13.5" customHeight="1">
      <c r="A20" s="18">
        <f t="shared" si="2"/>
        <v>12</v>
      </c>
      <c r="B20" s="35">
        <v>18441</v>
      </c>
      <c r="C20" s="40" t="s">
        <v>179</v>
      </c>
      <c r="D20" s="40" t="s">
        <v>180</v>
      </c>
      <c r="E20" s="46">
        <v>0.90756302521008403</v>
      </c>
      <c r="F20" s="46">
        <v>0.91129032258064524</v>
      </c>
      <c r="G20" s="46">
        <v>0.8671875</v>
      </c>
      <c r="H20" s="47">
        <f>VLOOKUP(B20,出席状況!$A$1:$D$137,4,FALSE)</f>
        <v>0.87218045112781961</v>
      </c>
      <c r="I20" s="61" t="str">
        <f t="shared" si="0"/>
        <v>↑</v>
      </c>
      <c r="J20" s="26">
        <f>IF(B20="","",VLOOKUP(B20,出席状況!$A$1:$D$136,3,FALSE))</f>
        <v>71.400000000000006</v>
      </c>
      <c r="L20" s="75">
        <v>2</v>
      </c>
      <c r="M20" s="75"/>
      <c r="N20" s="75"/>
      <c r="R20" s="80" t="s">
        <v>26</v>
      </c>
      <c r="S20" s="70">
        <f t="shared" si="1"/>
        <v>2</v>
      </c>
    </row>
    <row r="21" spans="1:19" ht="13.5" customHeight="1">
      <c r="A21" s="18">
        <f t="shared" si="2"/>
        <v>13</v>
      </c>
      <c r="B21" s="35">
        <v>18443</v>
      </c>
      <c r="C21" s="40" t="s">
        <v>181</v>
      </c>
      <c r="D21" s="40" t="s">
        <v>182</v>
      </c>
      <c r="E21" s="46">
        <v>0.92076830732292914</v>
      </c>
      <c r="F21" s="46">
        <v>0.92396313364055294</v>
      </c>
      <c r="G21" s="46">
        <v>0.9185267857142857</v>
      </c>
      <c r="H21" s="47">
        <f>VLOOKUP(B21,出席状況!$A$1:$D$137,4,FALSE)</f>
        <v>0.92158968850698186</v>
      </c>
      <c r="I21" s="61" t="str">
        <f t="shared" si="0"/>
        <v>↑</v>
      </c>
      <c r="J21" s="26">
        <f>IF(B21="","",VLOOKUP(B21,出席状況!$A$1:$D$136,3,FALSE))</f>
        <v>43.800000000000004</v>
      </c>
      <c r="L21" s="75">
        <v>3</v>
      </c>
      <c r="M21" s="75"/>
      <c r="N21" s="75"/>
      <c r="R21" s="81" t="s">
        <v>25</v>
      </c>
      <c r="S21" s="70">
        <f t="shared" si="1"/>
        <v>3</v>
      </c>
    </row>
    <row r="22" spans="1:19" ht="13.5" customHeight="1">
      <c r="A22" s="18">
        <f t="shared" si="2"/>
        <v>14</v>
      </c>
      <c r="B22" s="35">
        <v>18469</v>
      </c>
      <c r="C22" s="40" t="s">
        <v>183</v>
      </c>
      <c r="D22" s="40" t="s">
        <v>184</v>
      </c>
      <c r="E22" s="46">
        <v>0.64105642256902751</v>
      </c>
      <c r="F22" s="46">
        <v>0.65552995391705082</v>
      </c>
      <c r="G22" s="46">
        <v>0.65811011904761907</v>
      </c>
      <c r="H22" s="47">
        <f>VLOOKUP(B22,出席状況!$A$1:$D$137,4,FALSE)</f>
        <v>0.67096312209094167</v>
      </c>
      <c r="I22" s="61" t="str">
        <f t="shared" si="0"/>
        <v>↑</v>
      </c>
      <c r="J22" s="26">
        <f>IF(B22="","",VLOOKUP(B22,出席状況!$A$1:$D$136,3,FALSE))</f>
        <v>187.8</v>
      </c>
      <c r="L22" s="75">
        <v>3</v>
      </c>
      <c r="M22" s="75"/>
      <c r="N22" s="75"/>
      <c r="R22" s="81" t="s">
        <v>25</v>
      </c>
      <c r="S22" s="70">
        <f t="shared" si="1"/>
        <v>3</v>
      </c>
    </row>
    <row r="23" spans="1:19" ht="14.25" customHeight="1">
      <c r="A23" s="19">
        <f t="shared" si="2"/>
        <v>15</v>
      </c>
      <c r="B23" s="36">
        <v>18486</v>
      </c>
      <c r="C23" s="41" t="s">
        <v>185</v>
      </c>
      <c r="D23" s="41" t="s">
        <v>186</v>
      </c>
      <c r="E23" s="56">
        <v>0.87434973989595832</v>
      </c>
      <c r="F23" s="56">
        <v>0.87941628264208904</v>
      </c>
      <c r="G23" s="56">
        <v>0.84412202380952384</v>
      </c>
      <c r="H23" s="53">
        <f>VLOOKUP(B23,出席状況!$A$1:$D$137,4,FALSE)</f>
        <v>0.84998209810239889</v>
      </c>
      <c r="I23" s="62" t="str">
        <f t="shared" si="0"/>
        <v>↑</v>
      </c>
      <c r="J23" s="27">
        <f>IF(B23="","",VLOOKUP(B23,出席状況!$A$1:$D$136,3,FALSE))</f>
        <v>83.8</v>
      </c>
      <c r="L23" s="76">
        <v>2</v>
      </c>
      <c r="M23" s="76"/>
      <c r="N23" s="76"/>
      <c r="R23" s="80" t="s">
        <v>26</v>
      </c>
      <c r="S23" s="70">
        <f t="shared" si="1"/>
        <v>2</v>
      </c>
    </row>
    <row r="24" spans="1:19">
      <c r="A24" s="20">
        <f t="shared" si="2"/>
        <v>16</v>
      </c>
      <c r="B24" s="37">
        <v>18487</v>
      </c>
      <c r="C24" s="42" t="s">
        <v>187</v>
      </c>
      <c r="D24" s="42" t="s">
        <v>188</v>
      </c>
      <c r="E24" s="57">
        <v>0.85554221688675469</v>
      </c>
      <c r="F24" s="57">
        <v>0.86136712749615985</v>
      </c>
      <c r="G24" s="57">
        <v>0.82663690476190477</v>
      </c>
      <c r="H24" s="54">
        <f>VLOOKUP(B24,出席状況!$A$1:$D$137,4,FALSE)</f>
        <v>0.8331543143573219</v>
      </c>
      <c r="I24" s="51" t="str">
        <f t="shared" si="0"/>
        <v>↑</v>
      </c>
      <c r="J24" s="28">
        <f>IF(B24="","",VLOOKUP(B24,出席状況!$A$1:$D$136,3,FALSE))</f>
        <v>93.2</v>
      </c>
      <c r="L24" s="74">
        <v>2</v>
      </c>
      <c r="M24" s="74"/>
      <c r="N24" s="74"/>
      <c r="R24" s="80" t="s">
        <v>26</v>
      </c>
      <c r="S24" s="70">
        <f t="shared" si="1"/>
        <v>2</v>
      </c>
    </row>
    <row r="25" spans="1:19" s="71" customFormat="1">
      <c r="A25" s="18">
        <f t="shared" si="2"/>
        <v>17</v>
      </c>
      <c r="B25" s="35">
        <v>18538</v>
      </c>
      <c r="C25" s="40" t="s">
        <v>189</v>
      </c>
      <c r="D25" s="40" t="s">
        <v>190</v>
      </c>
      <c r="E25" s="46">
        <v>0.79431772709083637</v>
      </c>
      <c r="F25" s="46">
        <v>0.80261136712749614</v>
      </c>
      <c r="G25" s="46">
        <v>0.7991071428571429</v>
      </c>
      <c r="H25" s="47">
        <f>VLOOKUP(B25,出席状況!$A$1:$D$137,4,FALSE)</f>
        <v>0.80665950590762625</v>
      </c>
      <c r="I25" s="61" t="str">
        <f t="shared" si="0"/>
        <v>↑</v>
      </c>
      <c r="J25" s="26">
        <f>IF(B25="","",VLOOKUP(B25,出席状況!$A$1:$D$136,3,FALSE))</f>
        <v>108</v>
      </c>
      <c r="L25" s="75">
        <v>3</v>
      </c>
      <c r="M25" s="75"/>
      <c r="N25" s="75"/>
      <c r="O25" s="72"/>
      <c r="R25" s="81" t="s">
        <v>25</v>
      </c>
      <c r="S25" s="70">
        <f t="shared" si="1"/>
        <v>3</v>
      </c>
    </row>
    <row r="26" spans="1:19">
      <c r="A26" s="18">
        <f t="shared" si="2"/>
        <v>18</v>
      </c>
      <c r="B26" s="35">
        <v>18559</v>
      </c>
      <c r="C26" s="40" t="s">
        <v>191</v>
      </c>
      <c r="D26" s="40" t="s">
        <v>192</v>
      </c>
      <c r="E26" s="46">
        <v>0.83073229291716699</v>
      </c>
      <c r="F26" s="46">
        <v>0.8375576036866359</v>
      </c>
      <c r="G26" s="46">
        <v>0.7957589285714286</v>
      </c>
      <c r="H26" s="47">
        <f>VLOOKUP(B26,出席状況!$A$1:$D$137,4,FALSE)</f>
        <v>0.80343716433941992</v>
      </c>
      <c r="I26" s="61" t="str">
        <f t="shared" si="0"/>
        <v>↑</v>
      </c>
      <c r="J26" s="26">
        <f>IF(B26="","",VLOOKUP(B26,出席状況!$A$1:$D$136,3,FALSE))</f>
        <v>109.80000000000001</v>
      </c>
      <c r="L26" s="75">
        <v>3</v>
      </c>
      <c r="M26" s="75"/>
      <c r="N26" s="75"/>
      <c r="R26" s="81" t="s">
        <v>25</v>
      </c>
      <c r="S26" s="70">
        <f t="shared" si="1"/>
        <v>3</v>
      </c>
    </row>
    <row r="27" spans="1:19">
      <c r="A27" s="18">
        <f t="shared" si="2"/>
        <v>19</v>
      </c>
      <c r="B27" s="35">
        <v>18575</v>
      </c>
      <c r="C27" s="40" t="s">
        <v>193</v>
      </c>
      <c r="D27" s="40" t="s">
        <v>194</v>
      </c>
      <c r="E27" s="46">
        <v>1</v>
      </c>
      <c r="F27" s="46">
        <v>1</v>
      </c>
      <c r="G27" s="46">
        <v>1</v>
      </c>
      <c r="H27" s="47">
        <f>VLOOKUP(B27,出席状況!$A$1:$D$137,4,FALSE)</f>
        <v>1</v>
      </c>
      <c r="I27" s="61" t="str">
        <f t="shared" si="0"/>
        <v>　→</v>
      </c>
      <c r="J27" s="26">
        <f>IF(B27="","",VLOOKUP(B27,出席状況!$A$1:$D$136,3,FALSE))</f>
        <v>0</v>
      </c>
      <c r="L27" s="75">
        <v>2</v>
      </c>
      <c r="M27" s="75"/>
      <c r="N27" s="75"/>
      <c r="R27" s="80" t="s">
        <v>26</v>
      </c>
      <c r="S27" s="70">
        <f t="shared" si="1"/>
        <v>2</v>
      </c>
    </row>
    <row r="28" spans="1:19">
      <c r="A28" s="19">
        <f t="shared" si="2"/>
        <v>20</v>
      </c>
      <c r="B28" s="36">
        <v>18608</v>
      </c>
      <c r="C28" s="41" t="s">
        <v>195</v>
      </c>
      <c r="D28" s="41" t="s">
        <v>196</v>
      </c>
      <c r="E28" s="56">
        <v>0.68067226890756294</v>
      </c>
      <c r="F28" s="56">
        <v>0.69354838709677424</v>
      </c>
      <c r="G28" s="56">
        <v>0.67001488095238093</v>
      </c>
      <c r="H28" s="53">
        <f>VLOOKUP(B28,出席状況!$A$1:$D$137,4,FALSE)</f>
        <v>0.6824203365556748</v>
      </c>
      <c r="I28" s="62" t="str">
        <f t="shared" si="0"/>
        <v>↑</v>
      </c>
      <c r="J28" s="27">
        <f>IF(B28="","",VLOOKUP(B28,出席状況!$A$1:$D$136,3,FALSE))</f>
        <v>177.40000000000003</v>
      </c>
      <c r="L28" s="76">
        <v>2</v>
      </c>
      <c r="M28" s="76"/>
      <c r="N28" s="76"/>
      <c r="R28" s="80" t="s">
        <v>26</v>
      </c>
      <c r="S28" s="70">
        <f t="shared" si="1"/>
        <v>2</v>
      </c>
    </row>
    <row r="29" spans="1:19">
      <c r="A29" s="20">
        <f t="shared" si="2"/>
        <v>21</v>
      </c>
      <c r="B29" s="37">
        <v>18614</v>
      </c>
      <c r="C29" s="42" t="s">
        <v>197</v>
      </c>
      <c r="D29" s="42" t="s">
        <v>198</v>
      </c>
      <c r="E29" s="57">
        <v>0.99399759903961582</v>
      </c>
      <c r="F29" s="57">
        <v>0.99423963133640558</v>
      </c>
      <c r="G29" s="57">
        <v>0.9631696428571429</v>
      </c>
      <c r="H29" s="54">
        <f>VLOOKUP(B29,出席状況!$A$1:$D$137,4,FALSE)</f>
        <v>0.96455424274973156</v>
      </c>
      <c r="I29" s="51" t="str">
        <f t="shared" si="0"/>
        <v>↑</v>
      </c>
      <c r="J29" s="28">
        <f>IF(B29="","",VLOOKUP(B29,出席状況!$A$1:$D$136,3,FALSE))</f>
        <v>19.8</v>
      </c>
      <c r="L29" s="74">
        <v>2</v>
      </c>
      <c r="M29" s="74"/>
      <c r="N29" s="74"/>
      <c r="R29" s="80" t="s">
        <v>26</v>
      </c>
      <c r="S29" s="70">
        <f t="shared" si="1"/>
        <v>2</v>
      </c>
    </row>
    <row r="30" spans="1:19">
      <c r="A30" s="18">
        <f t="shared" si="2"/>
        <v>22</v>
      </c>
      <c r="B30" s="35">
        <v>18617</v>
      </c>
      <c r="C30" s="40" t="s">
        <v>199</v>
      </c>
      <c r="D30" s="40" t="s">
        <v>200</v>
      </c>
      <c r="E30" s="46">
        <v>0.78791516606642653</v>
      </c>
      <c r="F30" s="46">
        <v>0.7964669738863287</v>
      </c>
      <c r="G30" s="46">
        <v>0.77157738095238093</v>
      </c>
      <c r="H30" s="47">
        <f>VLOOKUP(B30,出席状況!$A$1:$D$137,4,FALSE)</f>
        <v>0.78016469745793049</v>
      </c>
      <c r="I30" s="61" t="str">
        <f t="shared" si="0"/>
        <v>↑</v>
      </c>
      <c r="J30" s="26">
        <f>IF(B30="","",VLOOKUP(B30,出席状況!$A$1:$D$136,3,FALSE))</f>
        <v>122.8</v>
      </c>
      <c r="L30" s="75">
        <v>2</v>
      </c>
      <c r="M30" s="75"/>
      <c r="N30" s="75"/>
      <c r="R30" s="80" t="s">
        <v>26</v>
      </c>
      <c r="S30" s="70">
        <f t="shared" si="1"/>
        <v>2</v>
      </c>
    </row>
    <row r="31" spans="1:19">
      <c r="A31" s="18">
        <f t="shared" si="2"/>
        <v>23</v>
      </c>
      <c r="B31" s="35"/>
      <c r="C31" s="40"/>
      <c r="D31" s="40"/>
      <c r="E31" s="46"/>
      <c r="F31" s="46"/>
      <c r="G31" s="46"/>
      <c r="H31" s="47"/>
      <c r="I31" s="61" t="str">
        <f t="shared" si="0"/>
        <v>　→</v>
      </c>
      <c r="J31" s="26" t="str">
        <f>IF(B31="","",VLOOKUP(B31,出席状況!$A$1:$D$136,3,FALSE))</f>
        <v/>
      </c>
      <c r="L31" s="75">
        <v>2</v>
      </c>
      <c r="M31" s="75"/>
      <c r="N31" s="75"/>
      <c r="R31" s="80" t="s">
        <v>26</v>
      </c>
      <c r="S31" s="70">
        <f t="shared" si="1"/>
        <v>2</v>
      </c>
    </row>
    <row r="32" spans="1:19">
      <c r="A32" s="18">
        <f t="shared" si="2"/>
        <v>24</v>
      </c>
      <c r="B32" s="35"/>
      <c r="C32" s="40"/>
      <c r="D32" s="40"/>
      <c r="E32" s="46"/>
      <c r="F32" s="46"/>
      <c r="G32" s="46"/>
      <c r="H32" s="47"/>
      <c r="I32" s="61" t="str">
        <f t="shared" si="0"/>
        <v>　→</v>
      </c>
      <c r="J32" s="26" t="str">
        <f>IF(B32="","",VLOOKUP(B32,出席状況!$A$1:$D$136,3,FALSE))</f>
        <v/>
      </c>
      <c r="L32" s="75">
        <v>2</v>
      </c>
      <c r="M32" s="75"/>
      <c r="N32" s="75"/>
      <c r="R32" s="80" t="s">
        <v>26</v>
      </c>
      <c r="S32" s="70">
        <f t="shared" si="1"/>
        <v>2</v>
      </c>
    </row>
    <row r="33" spans="1:19">
      <c r="A33" s="19">
        <f t="shared" si="2"/>
        <v>25</v>
      </c>
      <c r="B33" s="36"/>
      <c r="C33" s="41"/>
      <c r="D33" s="41"/>
      <c r="E33" s="56"/>
      <c r="F33" s="56"/>
      <c r="G33" s="56"/>
      <c r="H33" s="53"/>
      <c r="I33" s="62" t="str">
        <f t="shared" si="0"/>
        <v>　→</v>
      </c>
      <c r="J33" s="27" t="str">
        <f>IF(B33="","",VLOOKUP(B33,出席状況!$A$1:$D$136,3,FALSE))</f>
        <v/>
      </c>
      <c r="L33" s="76">
        <v>2</v>
      </c>
      <c r="M33" s="76"/>
      <c r="N33" s="76"/>
      <c r="R33" s="80" t="s">
        <v>26</v>
      </c>
      <c r="S33" s="70">
        <f t="shared" si="1"/>
        <v>2</v>
      </c>
    </row>
    <row r="34" spans="1:19">
      <c r="A34" s="20">
        <f t="shared" si="2"/>
        <v>26</v>
      </c>
      <c r="B34" s="37">
        <v>18305</v>
      </c>
      <c r="C34" s="42" t="s">
        <v>201</v>
      </c>
      <c r="D34" s="42" t="s">
        <v>202</v>
      </c>
      <c r="E34" s="57">
        <v>0.98359343737494997</v>
      </c>
      <c r="F34" s="57">
        <v>0.98425499231950841</v>
      </c>
      <c r="G34" s="57">
        <v>0.98288690476190466</v>
      </c>
      <c r="H34" s="54">
        <f>VLOOKUP(B34,出席状況!$A$1:$D$137,4,FALSE)</f>
        <v>0.98353025420694584</v>
      </c>
      <c r="I34" s="51" t="str">
        <f t="shared" si="0"/>
        <v>↑</v>
      </c>
      <c r="J34" s="28">
        <f>IF(B34="","",VLOOKUP(B34,出席状況!$A$1:$D$136,3,FALSE))</f>
        <v>9.1999999999999993</v>
      </c>
      <c r="L34" s="74">
        <v>2</v>
      </c>
      <c r="M34" s="74"/>
      <c r="N34" s="74"/>
      <c r="R34" s="80" t="s">
        <v>26</v>
      </c>
      <c r="S34" s="70">
        <f t="shared" si="1"/>
        <v>2</v>
      </c>
    </row>
    <row r="35" spans="1:19">
      <c r="A35" s="18">
        <f t="shared" si="2"/>
        <v>27</v>
      </c>
      <c r="B35" s="35">
        <v>18313</v>
      </c>
      <c r="C35" s="40" t="s">
        <v>203</v>
      </c>
      <c r="D35" s="40" t="s">
        <v>204</v>
      </c>
      <c r="E35" s="46">
        <v>0.85514205682272904</v>
      </c>
      <c r="F35" s="46">
        <v>0.86098310291858682</v>
      </c>
      <c r="G35" s="46">
        <v>0.85379464285714279</v>
      </c>
      <c r="H35" s="47">
        <f>VLOOKUP(B35,出席状況!$A$1:$D$137,4,FALSE)</f>
        <v>0.85929108485499461</v>
      </c>
      <c r="I35" s="61" t="str">
        <f t="shared" si="0"/>
        <v>↑</v>
      </c>
      <c r="J35" s="26">
        <f>IF(B35="","",VLOOKUP(B35,出席状況!$A$1:$D$136,3,FALSE))</f>
        <v>78.600000000000009</v>
      </c>
      <c r="L35" s="75">
        <v>2</v>
      </c>
      <c r="M35" s="75"/>
      <c r="N35" s="75"/>
      <c r="R35" s="80" t="s">
        <v>26</v>
      </c>
      <c r="S35" s="70">
        <f t="shared" si="1"/>
        <v>2</v>
      </c>
    </row>
    <row r="36" spans="1:19">
      <c r="A36" s="18">
        <f t="shared" si="2"/>
        <v>28</v>
      </c>
      <c r="B36" s="35">
        <v>18335</v>
      </c>
      <c r="C36" s="40" t="s">
        <v>205</v>
      </c>
      <c r="D36" s="40" t="s">
        <v>206</v>
      </c>
      <c r="E36" s="46">
        <v>0.90756302521008403</v>
      </c>
      <c r="F36" s="46">
        <v>0.91129032258064524</v>
      </c>
      <c r="G36" s="46">
        <v>0.9140625</v>
      </c>
      <c r="H36" s="47">
        <f>VLOOKUP(B36,出席状況!$A$1:$D$137,4,FALSE)</f>
        <v>0.91729323308270672</v>
      </c>
      <c r="I36" s="61" t="str">
        <f t="shared" si="0"/>
        <v>↑</v>
      </c>
      <c r="J36" s="26">
        <f>IF(B36="","",VLOOKUP(B36,出席状況!$A$1:$D$136,3,FALSE))</f>
        <v>46.2</v>
      </c>
      <c r="L36" s="75">
        <v>2</v>
      </c>
      <c r="M36" s="75"/>
      <c r="N36" s="75"/>
      <c r="R36" s="80" t="s">
        <v>26</v>
      </c>
      <c r="S36" s="70">
        <f t="shared" si="1"/>
        <v>2</v>
      </c>
    </row>
    <row r="37" spans="1:19">
      <c r="A37" s="18">
        <f t="shared" si="2"/>
        <v>29</v>
      </c>
      <c r="B37" s="35">
        <v>18386</v>
      </c>
      <c r="C37" s="40" t="s">
        <v>207</v>
      </c>
      <c r="D37" s="40" t="s">
        <v>208</v>
      </c>
      <c r="E37" s="46">
        <v>0.9243697478991596</v>
      </c>
      <c r="F37" s="46">
        <v>0.92741935483870963</v>
      </c>
      <c r="G37" s="46">
        <v>0.8828125</v>
      </c>
      <c r="H37" s="47">
        <f>VLOOKUP(B37,出席状況!$A$1:$D$137,4,FALSE)</f>
        <v>0.88721804511278191</v>
      </c>
      <c r="I37" s="61" t="str">
        <f t="shared" si="0"/>
        <v>↑</v>
      </c>
      <c r="J37" s="26">
        <f>IF(B37="","",VLOOKUP(B37,出席状況!$A$1:$D$136,3,FALSE))</f>
        <v>63.000000000000007</v>
      </c>
      <c r="L37" s="75">
        <v>2</v>
      </c>
      <c r="M37" s="75"/>
      <c r="N37" s="75"/>
      <c r="R37" s="80" t="s">
        <v>26</v>
      </c>
      <c r="S37" s="70">
        <f t="shared" si="1"/>
        <v>2</v>
      </c>
    </row>
    <row r="38" spans="1:19">
      <c r="A38" s="19">
        <f t="shared" si="2"/>
        <v>30</v>
      </c>
      <c r="B38" s="36">
        <v>18445</v>
      </c>
      <c r="C38" s="41" t="s">
        <v>209</v>
      </c>
      <c r="D38" s="41" t="s">
        <v>210</v>
      </c>
      <c r="E38" s="56">
        <v>0.87034813925570231</v>
      </c>
      <c r="F38" s="56">
        <v>0.87557603686635943</v>
      </c>
      <c r="G38" s="56">
        <v>0.81696428571428581</v>
      </c>
      <c r="H38" s="53">
        <f>VLOOKUP(B38,出席状況!$A$1:$D$137,4,FALSE)</f>
        <v>0.82384532760472617</v>
      </c>
      <c r="I38" s="62" t="str">
        <f t="shared" si="0"/>
        <v>↑</v>
      </c>
      <c r="J38" s="27">
        <f>IF(B38="","",VLOOKUP(B38,出席状況!$A$1:$D$136,3,FALSE))</f>
        <v>98.399999999999991</v>
      </c>
      <c r="L38" s="76">
        <v>2</v>
      </c>
      <c r="M38" s="76"/>
      <c r="N38" s="76"/>
      <c r="R38" s="80" t="s">
        <v>26</v>
      </c>
      <c r="S38" s="70">
        <f t="shared" si="1"/>
        <v>2</v>
      </c>
    </row>
    <row r="39" spans="1:19">
      <c r="A39" s="20">
        <f t="shared" si="2"/>
        <v>31</v>
      </c>
      <c r="B39" s="37">
        <v>18446</v>
      </c>
      <c r="C39" s="42" t="s">
        <v>211</v>
      </c>
      <c r="D39" s="42" t="s">
        <v>212</v>
      </c>
      <c r="E39" s="57">
        <v>0.94997999199679872</v>
      </c>
      <c r="F39" s="57">
        <v>0.95199692780337941</v>
      </c>
      <c r="G39" s="57">
        <v>0.95349702380952384</v>
      </c>
      <c r="H39" s="54">
        <f>VLOOKUP(B39,出席状況!$A$1:$D$137,4,FALSE)</f>
        <v>0.95524525599713572</v>
      </c>
      <c r="I39" s="51" t="str">
        <f t="shared" si="0"/>
        <v>↑</v>
      </c>
      <c r="J39" s="28">
        <f>IF(B39="","",VLOOKUP(B39,出席状況!$A$1:$D$136,3,FALSE))</f>
        <v>25</v>
      </c>
      <c r="L39" s="74">
        <v>3</v>
      </c>
      <c r="M39" s="74"/>
      <c r="N39" s="74"/>
      <c r="R39" s="81" t="s">
        <v>25</v>
      </c>
      <c r="S39" s="70">
        <f t="shared" si="1"/>
        <v>3</v>
      </c>
    </row>
    <row r="40" spans="1:19" s="71" customFormat="1">
      <c r="A40" s="18">
        <f t="shared" si="2"/>
        <v>32</v>
      </c>
      <c r="B40" s="35">
        <v>18491</v>
      </c>
      <c r="C40" s="40" t="s">
        <v>213</v>
      </c>
      <c r="D40" s="40" t="s">
        <v>214</v>
      </c>
      <c r="E40" s="46">
        <v>0.76550620248099244</v>
      </c>
      <c r="F40" s="46">
        <v>0.77496159754224281</v>
      </c>
      <c r="G40" s="46">
        <v>0.77418154761904767</v>
      </c>
      <c r="H40" s="47">
        <f>VLOOKUP(B40,出席状況!$A$1:$D$137,4,FALSE)</f>
        <v>0.78267096312209095</v>
      </c>
      <c r="I40" s="61" t="str">
        <f t="shared" si="0"/>
        <v>↑</v>
      </c>
      <c r="J40" s="26">
        <f>IF(B40="","",VLOOKUP(B40,出席状況!$A$1:$D$136,3,FALSE))</f>
        <v>121.4</v>
      </c>
      <c r="L40" s="75">
        <v>3</v>
      </c>
      <c r="M40" s="75"/>
      <c r="N40" s="75"/>
      <c r="O40" s="72"/>
      <c r="R40" s="81" t="s">
        <v>25</v>
      </c>
      <c r="S40" s="70">
        <f t="shared" si="1"/>
        <v>3</v>
      </c>
    </row>
    <row r="41" spans="1:19">
      <c r="A41" s="18">
        <f t="shared" si="2"/>
        <v>33</v>
      </c>
      <c r="B41" s="35">
        <v>18494</v>
      </c>
      <c r="C41" s="40" t="s">
        <v>215</v>
      </c>
      <c r="D41" s="40" t="s">
        <v>216</v>
      </c>
      <c r="E41" s="46">
        <v>0.82432973189275704</v>
      </c>
      <c r="F41" s="46">
        <v>0.83141321044546856</v>
      </c>
      <c r="G41" s="46">
        <v>0.82105654761904767</v>
      </c>
      <c r="H41" s="47">
        <f>VLOOKUP(B41,出席状況!$A$1:$D$137,4,FALSE)</f>
        <v>0.82778374507697816</v>
      </c>
      <c r="I41" s="61" t="str">
        <f t="shared" si="0"/>
        <v>↑</v>
      </c>
      <c r="J41" s="26">
        <f>IF(B41="","",VLOOKUP(B41,出席状況!$A$1:$D$136,3,FALSE))</f>
        <v>96.2</v>
      </c>
      <c r="L41" s="75">
        <v>2</v>
      </c>
      <c r="M41" s="75"/>
      <c r="N41" s="75"/>
      <c r="R41" s="80" t="s">
        <v>26</v>
      </c>
      <c r="S41" s="70">
        <f t="shared" si="1"/>
        <v>2</v>
      </c>
    </row>
    <row r="42" spans="1:19">
      <c r="A42" s="18">
        <f t="shared" si="2"/>
        <v>34</v>
      </c>
      <c r="B42" s="35">
        <v>18543</v>
      </c>
      <c r="C42" s="40" t="s">
        <v>217</v>
      </c>
      <c r="D42" s="40" t="s">
        <v>218</v>
      </c>
      <c r="E42" s="46">
        <v>0.95798319327731096</v>
      </c>
      <c r="F42" s="46">
        <v>0.95967741935483875</v>
      </c>
      <c r="G42" s="46">
        <v>0.95312499999999989</v>
      </c>
      <c r="H42" s="47">
        <f>VLOOKUP(B42,出席状況!$A$1:$D$137,4,FALSE)</f>
        <v>0.95488721804511267</v>
      </c>
      <c r="I42" s="61" t="str">
        <f t="shared" si="0"/>
        <v>↑</v>
      </c>
      <c r="J42" s="26">
        <f>IF(B42="","",VLOOKUP(B42,出席状況!$A$1:$D$136,3,FALSE))</f>
        <v>25.2</v>
      </c>
      <c r="L42" s="75">
        <v>3</v>
      </c>
      <c r="M42" s="75"/>
      <c r="N42" s="75"/>
      <c r="R42" s="81" t="s">
        <v>25</v>
      </c>
      <c r="S42" s="70">
        <f t="shared" si="1"/>
        <v>3</v>
      </c>
    </row>
    <row r="43" spans="1:19">
      <c r="A43" s="19">
        <f t="shared" si="2"/>
        <v>35</v>
      </c>
      <c r="B43" s="36">
        <v>18626</v>
      </c>
      <c r="C43" s="41" t="s">
        <v>219</v>
      </c>
      <c r="D43" s="41" t="s">
        <v>220</v>
      </c>
      <c r="E43" s="56">
        <v>0.78991596638655459</v>
      </c>
      <c r="F43" s="56">
        <v>0.79838709677419362</v>
      </c>
      <c r="G43" s="56">
        <v>0.7890625</v>
      </c>
      <c r="H43" s="53">
        <f>VLOOKUP(B43,出席状況!$A$1:$D$137,4,FALSE)</f>
        <v>0.79699248120300759</v>
      </c>
      <c r="I43" s="62" t="str">
        <f t="shared" si="0"/>
        <v>↑</v>
      </c>
      <c r="J43" s="27">
        <f>IF(B43="","",VLOOKUP(B43,出席状況!$A$1:$D$136,3,FALSE))</f>
        <v>113.4</v>
      </c>
      <c r="L43" s="76">
        <v>2</v>
      </c>
      <c r="M43" s="76"/>
      <c r="N43" s="76"/>
      <c r="R43" s="80" t="s">
        <v>26</v>
      </c>
      <c r="S43" s="70">
        <f t="shared" si="1"/>
        <v>2</v>
      </c>
    </row>
    <row r="44" spans="1:19">
      <c r="A44" s="20">
        <f t="shared" si="2"/>
        <v>36</v>
      </c>
      <c r="B44" s="37"/>
      <c r="C44" s="42"/>
      <c r="D44" s="42"/>
      <c r="E44" s="57"/>
      <c r="F44" s="57"/>
      <c r="G44" s="57"/>
      <c r="H44" s="54"/>
      <c r="I44" s="51" t="str">
        <f t="shared" si="0"/>
        <v>　→</v>
      </c>
      <c r="J44" s="28" t="str">
        <f>IF(B44="","",VLOOKUP(B44,出席状況!$A$1:$D$136,3,FALSE))</f>
        <v/>
      </c>
      <c r="L44" s="74">
        <v>2</v>
      </c>
      <c r="M44" s="74"/>
      <c r="N44" s="74"/>
      <c r="R44" s="80" t="s">
        <v>26</v>
      </c>
      <c r="S44" s="70">
        <f t="shared" si="1"/>
        <v>2</v>
      </c>
    </row>
    <row r="45" spans="1:19">
      <c r="A45" s="18">
        <f t="shared" si="2"/>
        <v>37</v>
      </c>
      <c r="B45" s="35"/>
      <c r="C45" s="40"/>
      <c r="D45" s="40"/>
      <c r="E45" s="46"/>
      <c r="F45" s="46"/>
      <c r="G45" s="46"/>
      <c r="H45" s="47"/>
      <c r="I45" s="61" t="str">
        <f t="shared" si="0"/>
        <v>　→</v>
      </c>
      <c r="J45" s="26" t="str">
        <f>IF(B45="","",VLOOKUP(B45,出席状況!$A$1:$D$136,3,FALSE))</f>
        <v/>
      </c>
      <c r="L45" s="75">
        <v>2</v>
      </c>
      <c r="M45" s="75"/>
      <c r="N45" s="75"/>
      <c r="R45" s="80" t="s">
        <v>26</v>
      </c>
      <c r="S45" s="70">
        <f t="shared" si="1"/>
        <v>2</v>
      </c>
    </row>
    <row r="46" spans="1:19">
      <c r="A46" s="18">
        <f t="shared" si="2"/>
        <v>38</v>
      </c>
      <c r="B46" s="35"/>
      <c r="C46" s="40"/>
      <c r="D46" s="40"/>
      <c r="E46" s="46"/>
      <c r="F46" s="46"/>
      <c r="G46" s="46"/>
      <c r="H46" s="47"/>
      <c r="I46" s="61" t="str">
        <f t="shared" si="0"/>
        <v>　→</v>
      </c>
      <c r="J46" s="26" t="str">
        <f>IF(B46="","",VLOOKUP(B46,出席状況!$A$1:$D$136,3,FALSE))</f>
        <v/>
      </c>
      <c r="L46" s="75">
        <v>2</v>
      </c>
      <c r="M46" s="75"/>
      <c r="N46" s="75"/>
      <c r="R46" s="80" t="s">
        <v>26</v>
      </c>
      <c r="S46" s="70">
        <f t="shared" si="1"/>
        <v>2</v>
      </c>
    </row>
    <row r="47" spans="1:19">
      <c r="A47" s="18">
        <f t="shared" si="2"/>
        <v>39</v>
      </c>
      <c r="B47" s="35"/>
      <c r="C47" s="40"/>
      <c r="D47" s="40"/>
      <c r="E47" s="46"/>
      <c r="F47" s="46"/>
      <c r="G47" s="46"/>
      <c r="H47" s="47"/>
      <c r="I47" s="61" t="str">
        <f t="shared" si="0"/>
        <v>　→</v>
      </c>
      <c r="J47" s="26" t="str">
        <f>IF(B47="","",VLOOKUP(B47,出席状況!$A$1:$D$136,3,FALSE))</f>
        <v/>
      </c>
      <c r="L47" s="75">
        <v>2</v>
      </c>
      <c r="M47" s="75"/>
      <c r="N47" s="75"/>
      <c r="R47" s="80" t="s">
        <v>26</v>
      </c>
      <c r="S47" s="70">
        <f t="shared" si="1"/>
        <v>2</v>
      </c>
    </row>
    <row r="48" spans="1:19">
      <c r="A48" s="19">
        <f t="shared" si="2"/>
        <v>40</v>
      </c>
      <c r="B48" s="36"/>
      <c r="C48" s="41"/>
      <c r="D48" s="41"/>
      <c r="E48" s="56"/>
      <c r="F48" s="56"/>
      <c r="G48" s="56"/>
      <c r="H48" s="53"/>
      <c r="I48" s="62" t="str">
        <f t="shared" si="0"/>
        <v>　→</v>
      </c>
      <c r="J48" s="27" t="str">
        <f>IF(B48="","",VLOOKUP(B48,出席状況!$A$1:$D$136,3,FALSE))</f>
        <v/>
      </c>
      <c r="L48" s="76">
        <v>3</v>
      </c>
      <c r="M48" s="76"/>
      <c r="N48" s="76"/>
      <c r="R48" s="81" t="s">
        <v>25</v>
      </c>
      <c r="S48" s="70">
        <f t="shared" si="1"/>
        <v>3</v>
      </c>
    </row>
    <row r="49" spans="1:19">
      <c r="A49" s="20">
        <f t="shared" si="2"/>
        <v>41</v>
      </c>
      <c r="B49" s="37"/>
      <c r="C49" s="42"/>
      <c r="D49" s="42"/>
      <c r="E49" s="57"/>
      <c r="F49" s="57"/>
      <c r="G49" s="57"/>
      <c r="H49" s="54"/>
      <c r="I49" s="51" t="str">
        <f t="shared" si="0"/>
        <v>　→</v>
      </c>
      <c r="J49" s="28" t="str">
        <f>IF(B49="","",VLOOKUP(B49,出席状況!$A$1:$D$136,3,FALSE))</f>
        <v/>
      </c>
      <c r="L49" s="74"/>
      <c r="M49" s="74"/>
      <c r="N49" s="74"/>
    </row>
    <row r="50" spans="1:19">
      <c r="A50" s="18">
        <f t="shared" si="2"/>
        <v>42</v>
      </c>
      <c r="B50" s="35"/>
      <c r="C50" s="40"/>
      <c r="D50" s="40"/>
      <c r="E50" s="46"/>
      <c r="F50" s="46"/>
      <c r="G50" s="46"/>
      <c r="H50" s="47"/>
      <c r="I50" s="61" t="str">
        <f t="shared" si="0"/>
        <v>　→</v>
      </c>
      <c r="J50" s="26" t="str">
        <f>IF(B50="","",VLOOKUP(B50,出席状況!$A$1:$D$136,3,FALSE))</f>
        <v/>
      </c>
      <c r="L50" s="75"/>
      <c r="M50" s="75"/>
      <c r="N50" s="75"/>
    </row>
    <row r="51" spans="1:19">
      <c r="A51" s="18">
        <f t="shared" si="2"/>
        <v>43</v>
      </c>
      <c r="B51" s="35"/>
      <c r="C51" s="40"/>
      <c r="D51" s="40"/>
      <c r="E51" s="46"/>
      <c r="F51" s="46"/>
      <c r="G51" s="46"/>
      <c r="H51" s="47"/>
      <c r="I51" s="61" t="str">
        <f t="shared" si="0"/>
        <v>　→</v>
      </c>
      <c r="J51" s="26" t="str">
        <f>IF(B51="","",VLOOKUP(B51,出席状況!$A$1:$D$136,3,FALSE))</f>
        <v/>
      </c>
      <c r="L51" s="75"/>
      <c r="M51" s="75"/>
      <c r="N51" s="75"/>
    </row>
    <row r="52" spans="1:19">
      <c r="A52" s="18">
        <f t="shared" si="2"/>
        <v>44</v>
      </c>
      <c r="B52" s="35"/>
      <c r="C52" s="40"/>
      <c r="D52" s="40"/>
      <c r="E52" s="46"/>
      <c r="F52" s="46"/>
      <c r="G52" s="46"/>
      <c r="H52" s="47"/>
      <c r="I52" s="61" t="str">
        <f t="shared" si="0"/>
        <v>　→</v>
      </c>
      <c r="J52" s="26" t="str">
        <f>IF(B52="","",VLOOKUP(B52,出席状況!$A$1:$D$136,3,FALSE))</f>
        <v/>
      </c>
      <c r="L52" s="75"/>
      <c r="M52" s="75"/>
      <c r="N52" s="75"/>
    </row>
    <row r="53" spans="1:19" ht="12" thickBot="1">
      <c r="A53" s="77">
        <f t="shared" si="2"/>
        <v>45</v>
      </c>
      <c r="B53" s="38"/>
      <c r="C53" s="43"/>
      <c r="D53" s="43"/>
      <c r="E53" s="58"/>
      <c r="F53" s="58"/>
      <c r="G53" s="58"/>
      <c r="H53" s="59"/>
      <c r="I53" s="63" t="str">
        <f t="shared" si="0"/>
        <v>　→</v>
      </c>
      <c r="J53" s="29" t="str">
        <f>IF(B53="","",VLOOKUP(B53,出席状況!$A$1:$D$136,3,FALSE))</f>
        <v/>
      </c>
      <c r="L53" s="76"/>
      <c r="M53" s="76"/>
      <c r="N53" s="76"/>
    </row>
    <row r="54" spans="1:19" ht="12" thickBot="1">
      <c r="D54" s="45" t="s">
        <v>12</v>
      </c>
      <c r="E54" s="33">
        <f>AVERAGE(E9:E53)</f>
        <v>0.85783063225290135</v>
      </c>
      <c r="F54" s="33">
        <f>AVERAGE(F9:F53)</f>
        <v>0.86356326804915529</v>
      </c>
      <c r="G54" s="33">
        <f>AVERAGE(G9:G53)</f>
        <v>0.84745861235119035</v>
      </c>
      <c r="H54" s="33">
        <f>AVERAGE(H9:H53)</f>
        <v>0.8531932509846043</v>
      </c>
      <c r="I54" s="13" t="str">
        <f t="shared" si="0"/>
        <v>↑</v>
      </c>
    </row>
    <row r="55" spans="1:19" ht="12" thickBot="1">
      <c r="E55" s="6"/>
      <c r="F55" s="6"/>
      <c r="G55" s="6"/>
      <c r="H55" s="6"/>
    </row>
    <row r="56" spans="1:19" ht="12" thickBot="1">
      <c r="B56" s="70" t="s">
        <v>156</v>
      </c>
      <c r="E56" s="6"/>
      <c r="F56" s="6"/>
      <c r="G56" s="6"/>
      <c r="H56" s="6"/>
      <c r="J56" s="22" t="s">
        <v>14</v>
      </c>
      <c r="L56" s="70" t="s">
        <v>18</v>
      </c>
    </row>
    <row r="57" spans="1:19" ht="12" thickBot="1">
      <c r="A57" s="10" t="s">
        <v>11</v>
      </c>
      <c r="B57" s="11" t="s">
        <v>0</v>
      </c>
      <c r="C57" s="12" t="s">
        <v>1</v>
      </c>
      <c r="D57" s="12" t="s">
        <v>2</v>
      </c>
      <c r="E57" s="17">
        <v>43708</v>
      </c>
      <c r="F57" s="68">
        <v>43746</v>
      </c>
      <c r="G57" s="68">
        <v>43757</v>
      </c>
      <c r="H57" s="15">
        <f t="shared" ref="H57" si="3">H8</f>
        <v>43785</v>
      </c>
      <c r="I57" s="16" t="s">
        <v>13</v>
      </c>
      <c r="J57" s="23">
        <f>H57</f>
        <v>43785</v>
      </c>
      <c r="L57" s="70">
        <v>4</v>
      </c>
      <c r="M57" s="70">
        <v>10</v>
      </c>
      <c r="N57" s="70">
        <v>1</v>
      </c>
      <c r="O57" s="72" t="s">
        <v>23</v>
      </c>
    </row>
    <row r="58" spans="1:19">
      <c r="A58" s="32">
        <v>1</v>
      </c>
      <c r="B58" s="34">
        <v>18307</v>
      </c>
      <c r="C58" s="39" t="s">
        <v>221</v>
      </c>
      <c r="D58" s="39" t="s">
        <v>222</v>
      </c>
      <c r="E58" s="55">
        <v>0.96638655462184875</v>
      </c>
      <c r="F58" s="55">
        <v>0.967741935483871</v>
      </c>
      <c r="G58" s="55">
        <v>0.96875000000000011</v>
      </c>
      <c r="H58" s="52">
        <f>VLOOKUP(B58,出席状況!$A$1:$D$137,4,FALSE)</f>
        <v>0.9699248120300753</v>
      </c>
      <c r="I58" s="49" t="str">
        <f t="shared" ref="I58:I103" si="4">IF(G58&lt;H58,$I$3,IF(G58=H58,$I$4,$I$5))</f>
        <v>↑</v>
      </c>
      <c r="J58" s="25">
        <f>IF(B58="","",VLOOKUP(B58,出席状況!$A$1:$D$136,3,FALSE))</f>
        <v>16.8</v>
      </c>
      <c r="K58" s="71"/>
      <c r="L58" s="74">
        <v>3</v>
      </c>
      <c r="M58" s="74"/>
      <c r="N58" s="74"/>
      <c r="R58" s="81" t="s">
        <v>25</v>
      </c>
      <c r="S58" s="70">
        <f t="shared" ref="S58:S101" si="5">VALUE(MID(R58,1,1))</f>
        <v>3</v>
      </c>
    </row>
    <row r="59" spans="1:19" s="71" customFormat="1">
      <c r="A59" s="18">
        <f>A58+1</f>
        <v>2</v>
      </c>
      <c r="B59" s="35">
        <v>18314</v>
      </c>
      <c r="C59" s="40" t="s">
        <v>223</v>
      </c>
      <c r="D59" s="40" t="s">
        <v>224</v>
      </c>
      <c r="E59" s="46">
        <v>0.99159663865546221</v>
      </c>
      <c r="F59" s="46">
        <v>0.99193548387096764</v>
      </c>
      <c r="G59" s="46">
        <v>0.99218749999999989</v>
      </c>
      <c r="H59" s="47">
        <f>VLOOKUP(B59,出席状況!$A$1:$D$137,4,FALSE)</f>
        <v>0.99248120300751874</v>
      </c>
      <c r="I59" s="44" t="str">
        <f t="shared" si="4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81" t="s">
        <v>25</v>
      </c>
      <c r="S59" s="70">
        <f t="shared" si="5"/>
        <v>3</v>
      </c>
    </row>
    <row r="60" spans="1:19" s="71" customFormat="1">
      <c r="A60" s="18">
        <f t="shared" ref="A60:A102" si="6">A59+1</f>
        <v>3</v>
      </c>
      <c r="B60" s="35">
        <v>18316</v>
      </c>
      <c r="C60" s="40" t="s">
        <v>225</v>
      </c>
      <c r="D60" s="40" t="s">
        <v>226</v>
      </c>
      <c r="E60" s="46">
        <v>0.91396558623449375</v>
      </c>
      <c r="F60" s="46">
        <v>0.91743471582181257</v>
      </c>
      <c r="G60" s="46">
        <v>0.91220238095238093</v>
      </c>
      <c r="H60" s="47">
        <f>VLOOKUP(B60,出席状況!$A$1:$D$137,4,FALSE)</f>
        <v>0.91550304332259225</v>
      </c>
      <c r="I60" s="44" t="str">
        <f t="shared" si="4"/>
        <v>↑</v>
      </c>
      <c r="J60" s="26">
        <f>IF(B60="","",VLOOKUP(B60,出席状況!$A$1:$D$136,3,FALSE))</f>
        <v>47.20000000000001</v>
      </c>
      <c r="L60" s="75">
        <v>3</v>
      </c>
      <c r="M60" s="75"/>
      <c r="N60" s="75"/>
      <c r="O60" s="73"/>
      <c r="R60" s="81" t="s">
        <v>25</v>
      </c>
      <c r="S60" s="70">
        <f t="shared" si="5"/>
        <v>3</v>
      </c>
    </row>
    <row r="61" spans="1:19" s="71" customFormat="1">
      <c r="A61" s="18">
        <f t="shared" si="6"/>
        <v>4</v>
      </c>
      <c r="B61" s="35">
        <v>18317</v>
      </c>
      <c r="C61" s="40" t="s">
        <v>227</v>
      </c>
      <c r="D61" s="40" t="s">
        <v>228</v>
      </c>
      <c r="E61" s="46">
        <v>0.89795918367346939</v>
      </c>
      <c r="F61" s="46">
        <v>0.90207373271889402</v>
      </c>
      <c r="G61" s="46">
        <v>0.8973214285714286</v>
      </c>
      <c r="H61" s="47">
        <f>VLOOKUP(B61,出席状況!$A$1:$D$137,4,FALSE)</f>
        <v>0.90118152524167561</v>
      </c>
      <c r="I61" s="44" t="str">
        <f t="shared" si="4"/>
        <v>↑</v>
      </c>
      <c r="J61" s="26">
        <f>IF(B61="","",VLOOKUP(B61,出席状況!$A$1:$D$136,3,FALSE))</f>
        <v>55.2</v>
      </c>
      <c r="L61" s="75">
        <v>3</v>
      </c>
      <c r="M61" s="75"/>
      <c r="N61" s="75"/>
      <c r="O61" s="73"/>
      <c r="R61" s="81" t="s">
        <v>25</v>
      </c>
      <c r="S61" s="70">
        <f t="shared" si="5"/>
        <v>3</v>
      </c>
    </row>
    <row r="62" spans="1:19" s="71" customFormat="1">
      <c r="A62" s="19">
        <f t="shared" si="6"/>
        <v>5</v>
      </c>
      <c r="B62" s="36">
        <v>18318</v>
      </c>
      <c r="C62" s="41" t="s">
        <v>229</v>
      </c>
      <c r="D62" s="41" t="s">
        <v>230</v>
      </c>
      <c r="E62" s="56">
        <v>0.89915966386554613</v>
      </c>
      <c r="F62" s="56">
        <v>0.90322580645161299</v>
      </c>
      <c r="G62" s="56">
        <v>0.890625</v>
      </c>
      <c r="H62" s="53">
        <f>VLOOKUP(B62,出席状況!$A$1:$D$137,4,FALSE)</f>
        <v>0.89473684210526316</v>
      </c>
      <c r="I62" s="50" t="str">
        <f t="shared" si="4"/>
        <v>↑</v>
      </c>
      <c r="J62" s="27">
        <f>IF(B62="","",VLOOKUP(B62,出席状況!$A$1:$D$136,3,FALSE))</f>
        <v>58.800000000000004</v>
      </c>
      <c r="L62" s="76">
        <v>2</v>
      </c>
      <c r="M62" s="76"/>
      <c r="N62" s="76"/>
      <c r="O62" s="72"/>
      <c r="R62" s="80" t="s">
        <v>26</v>
      </c>
      <c r="S62" s="70">
        <f t="shared" si="5"/>
        <v>2</v>
      </c>
    </row>
    <row r="63" spans="1:19" s="71" customFormat="1">
      <c r="A63" s="20">
        <f t="shared" si="6"/>
        <v>6</v>
      </c>
      <c r="B63" s="37">
        <v>18334</v>
      </c>
      <c r="C63" s="42" t="s">
        <v>231</v>
      </c>
      <c r="D63" s="42" t="s">
        <v>232</v>
      </c>
      <c r="E63" s="57">
        <v>0.83313325330132049</v>
      </c>
      <c r="F63" s="57">
        <v>0.83986175115207384</v>
      </c>
      <c r="G63" s="57">
        <v>0.83519345238095233</v>
      </c>
      <c r="H63" s="54">
        <f>VLOOKUP(B63,出席状況!$A$1:$D$137,4,FALSE)</f>
        <v>0.84138918725384892</v>
      </c>
      <c r="I63" s="21" t="str">
        <f t="shared" si="4"/>
        <v>↑</v>
      </c>
      <c r="J63" s="28">
        <f>IF(B63="","",VLOOKUP(B63,出席状況!$A$1:$D$136,3,FALSE))</f>
        <v>88.600000000000009</v>
      </c>
      <c r="L63" s="74">
        <v>2</v>
      </c>
      <c r="M63" s="74"/>
      <c r="N63" s="74"/>
      <c r="O63" s="73"/>
      <c r="R63" s="80" t="s">
        <v>26</v>
      </c>
      <c r="S63" s="70">
        <f t="shared" si="5"/>
        <v>2</v>
      </c>
    </row>
    <row r="64" spans="1:19">
      <c r="A64" s="18">
        <f t="shared" si="6"/>
        <v>7</v>
      </c>
      <c r="B64" s="35">
        <v>18342</v>
      </c>
      <c r="C64" s="40" t="s">
        <v>233</v>
      </c>
      <c r="D64" s="40" t="s">
        <v>234</v>
      </c>
      <c r="E64" s="46">
        <v>0.90756302521008403</v>
      </c>
      <c r="F64" s="46">
        <v>0.91129032258064524</v>
      </c>
      <c r="G64" s="46">
        <v>0.8984375</v>
      </c>
      <c r="H64" s="47">
        <f>VLOOKUP(B64,出席状況!$A$1:$D$137,4,FALSE)</f>
        <v>0.90225563909774431</v>
      </c>
      <c r="I64" s="44" t="str">
        <f t="shared" si="4"/>
        <v>↑</v>
      </c>
      <c r="J64" s="26">
        <f>IF(B64="","",VLOOKUP(B64,出席状況!$A$1:$D$136,3,FALSE))</f>
        <v>54.600000000000009</v>
      </c>
      <c r="K64" s="71"/>
      <c r="L64" s="75">
        <v>3</v>
      </c>
      <c r="M64" s="75"/>
      <c r="N64" s="75"/>
      <c r="R64" s="81" t="s">
        <v>25</v>
      </c>
      <c r="S64" s="70">
        <f t="shared" si="5"/>
        <v>3</v>
      </c>
    </row>
    <row r="65" spans="1:19">
      <c r="A65" s="18">
        <f t="shared" si="6"/>
        <v>8</v>
      </c>
      <c r="B65" s="35">
        <v>18344</v>
      </c>
      <c r="C65" s="40" t="s">
        <v>235</v>
      </c>
      <c r="D65" s="40" t="s">
        <v>236</v>
      </c>
      <c r="E65" s="46">
        <v>0.8239295718287315</v>
      </c>
      <c r="F65" s="46">
        <v>0.83102918586789554</v>
      </c>
      <c r="G65" s="46">
        <v>0.83630952380952384</v>
      </c>
      <c r="H65" s="47">
        <f>VLOOKUP(B65,出席状況!$A$1:$D$137,4,FALSE)</f>
        <v>0.84246330110991763</v>
      </c>
      <c r="I65" s="44" t="str">
        <f t="shared" si="4"/>
        <v>↑</v>
      </c>
      <c r="J65" s="26">
        <f>IF(B65="","",VLOOKUP(B65,出席状況!$A$1:$D$136,3,FALSE))</f>
        <v>88.000000000000014</v>
      </c>
      <c r="K65" s="71"/>
      <c r="L65" s="75">
        <v>2</v>
      </c>
      <c r="M65" s="75"/>
      <c r="N65" s="75"/>
      <c r="R65" s="80" t="s">
        <v>26</v>
      </c>
      <c r="S65" s="70">
        <f t="shared" si="5"/>
        <v>2</v>
      </c>
    </row>
    <row r="66" spans="1:19">
      <c r="A66" s="18">
        <f t="shared" si="6"/>
        <v>9</v>
      </c>
      <c r="B66" s="35">
        <v>18349</v>
      </c>
      <c r="C66" s="40" t="s">
        <v>237</v>
      </c>
      <c r="D66" s="40" t="s">
        <v>238</v>
      </c>
      <c r="E66" s="46">
        <v>0.78151260504201681</v>
      </c>
      <c r="F66" s="46">
        <v>0.79032258064516137</v>
      </c>
      <c r="G66" s="46">
        <v>0.796875</v>
      </c>
      <c r="H66" s="47">
        <f>VLOOKUP(B66,出席状況!$A$1:$D$137,4,FALSE)</f>
        <v>0.80451127819548873</v>
      </c>
      <c r="I66" s="44" t="str">
        <f t="shared" si="4"/>
        <v>↑</v>
      </c>
      <c r="J66" s="26">
        <f>IF(B66="","",VLOOKUP(B66,出席状況!$A$1:$D$136,3,FALSE))</f>
        <v>109.2</v>
      </c>
      <c r="K66" s="71"/>
      <c r="L66" s="75">
        <v>3</v>
      </c>
      <c r="M66" s="75"/>
      <c r="N66" s="75"/>
      <c r="R66" s="81" t="s">
        <v>25</v>
      </c>
      <c r="S66" s="70">
        <f t="shared" si="5"/>
        <v>3</v>
      </c>
    </row>
    <row r="67" spans="1:19">
      <c r="A67" s="19">
        <f t="shared" si="6"/>
        <v>10</v>
      </c>
      <c r="B67" s="36">
        <v>18364</v>
      </c>
      <c r="C67" s="41" t="s">
        <v>239</v>
      </c>
      <c r="D67" s="41" t="s">
        <v>240</v>
      </c>
      <c r="E67" s="56">
        <v>0.88235294117647056</v>
      </c>
      <c r="F67" s="56">
        <v>0.88709677419354838</v>
      </c>
      <c r="G67" s="56">
        <v>0.8828125</v>
      </c>
      <c r="H67" s="53">
        <f>VLOOKUP(B67,出席状況!$A$1:$D$137,4,FALSE)</f>
        <v>0.88721804511278191</v>
      </c>
      <c r="I67" s="50" t="str">
        <f t="shared" si="4"/>
        <v>↑</v>
      </c>
      <c r="J67" s="27">
        <f>IF(B67="","",VLOOKUP(B67,出席状況!$A$1:$D$136,3,FALSE))</f>
        <v>63</v>
      </c>
      <c r="K67" s="71"/>
      <c r="L67" s="76">
        <v>3</v>
      </c>
      <c r="M67" s="76"/>
      <c r="N67" s="76"/>
      <c r="R67" s="81" t="s">
        <v>25</v>
      </c>
      <c r="S67" s="70">
        <f t="shared" si="5"/>
        <v>3</v>
      </c>
    </row>
    <row r="68" spans="1:19">
      <c r="A68" s="20">
        <f t="shared" si="6"/>
        <v>11</v>
      </c>
      <c r="B68" s="37">
        <v>18372</v>
      </c>
      <c r="C68" s="42" t="s">
        <v>241</v>
      </c>
      <c r="D68" s="42" t="s">
        <v>242</v>
      </c>
      <c r="E68" s="57">
        <v>0.96038415366146457</v>
      </c>
      <c r="F68" s="57">
        <v>0.96198156682027647</v>
      </c>
      <c r="G68" s="57">
        <v>0.9553571428571429</v>
      </c>
      <c r="H68" s="54">
        <f>VLOOKUP(B68,出席状況!$A$1:$D$137,4,FALSE)</f>
        <v>0.9570354457572503</v>
      </c>
      <c r="I68" s="21" t="str">
        <f t="shared" si="4"/>
        <v>↑</v>
      </c>
      <c r="J68" s="28">
        <f>IF(B68="","",VLOOKUP(B68,出席状況!$A$1:$D$136,3,FALSE))</f>
        <v>24</v>
      </c>
      <c r="K68" s="71"/>
      <c r="L68" s="74">
        <v>3</v>
      </c>
      <c r="M68" s="74"/>
      <c r="N68" s="74"/>
      <c r="R68" s="81" t="s">
        <v>25</v>
      </c>
      <c r="S68" s="70">
        <f t="shared" si="5"/>
        <v>3</v>
      </c>
    </row>
    <row r="69" spans="1:19">
      <c r="A69" s="18">
        <f t="shared" si="6"/>
        <v>12</v>
      </c>
      <c r="B69" s="35">
        <v>18376</v>
      </c>
      <c r="C69" s="40" t="s">
        <v>243</v>
      </c>
      <c r="D69" s="40" t="s">
        <v>160</v>
      </c>
      <c r="E69" s="46">
        <v>0.76470588235294124</v>
      </c>
      <c r="F69" s="46">
        <v>0.77419354838709675</v>
      </c>
      <c r="G69" s="46">
        <v>0.75</v>
      </c>
      <c r="H69" s="47">
        <f>VLOOKUP(B69,出席状況!$A$1:$D$137,4,FALSE)</f>
        <v>0.75939849624060152</v>
      </c>
      <c r="I69" s="44" t="str">
        <f t="shared" si="4"/>
        <v>↑</v>
      </c>
      <c r="J69" s="26">
        <f>IF(B69="","",VLOOKUP(B69,出席状況!$A$1:$D$136,3,FALSE))</f>
        <v>134.39999999999998</v>
      </c>
      <c r="K69" s="71"/>
      <c r="L69" s="75">
        <v>2</v>
      </c>
      <c r="M69" s="75"/>
      <c r="N69" s="75"/>
      <c r="R69" s="80" t="s">
        <v>26</v>
      </c>
      <c r="S69" s="70">
        <f t="shared" si="5"/>
        <v>2</v>
      </c>
    </row>
    <row r="70" spans="1:19">
      <c r="A70" s="18">
        <f t="shared" si="6"/>
        <v>13</v>
      </c>
      <c r="B70" s="35">
        <v>18382</v>
      </c>
      <c r="C70" s="40" t="s">
        <v>244</v>
      </c>
      <c r="D70" s="40" t="s">
        <v>245</v>
      </c>
      <c r="E70" s="46">
        <v>0.79471788715486202</v>
      </c>
      <c r="F70" s="46">
        <v>0.80299539170506906</v>
      </c>
      <c r="G70" s="46">
        <v>0.8091517857142857</v>
      </c>
      <c r="H70" s="47">
        <f>VLOOKUP(B70,出席状況!$A$1:$D$137,4,FALSE)</f>
        <v>0.81632653061224492</v>
      </c>
      <c r="I70" s="44" t="str">
        <f t="shared" si="4"/>
        <v>↑</v>
      </c>
      <c r="J70" s="26">
        <f>IF(B70="","",VLOOKUP(B70,出席状況!$A$1:$D$136,3,FALSE))</f>
        <v>102.6</v>
      </c>
      <c r="K70" s="71"/>
      <c r="L70" s="75">
        <v>3</v>
      </c>
      <c r="M70" s="75"/>
      <c r="N70" s="75"/>
      <c r="R70" s="81" t="s">
        <v>25</v>
      </c>
      <c r="S70" s="70">
        <f t="shared" si="5"/>
        <v>3</v>
      </c>
    </row>
    <row r="71" spans="1:19">
      <c r="A71" s="18">
        <f t="shared" si="6"/>
        <v>14</v>
      </c>
      <c r="B71" s="35">
        <v>18390</v>
      </c>
      <c r="C71" s="40" t="s">
        <v>246</v>
      </c>
      <c r="D71" s="40" t="s">
        <v>247</v>
      </c>
      <c r="E71" s="46">
        <v>0.93277310924369738</v>
      </c>
      <c r="F71" s="46">
        <v>0.93548387096774188</v>
      </c>
      <c r="G71" s="46">
        <v>0.9296875</v>
      </c>
      <c r="H71" s="47">
        <f>VLOOKUP(B71,出席状況!$A$1:$D$137,4,FALSE)</f>
        <v>0.93233082706766923</v>
      </c>
      <c r="I71" s="44" t="str">
        <f t="shared" si="4"/>
        <v>↑</v>
      </c>
      <c r="J71" s="26">
        <f>IF(B71="","",VLOOKUP(B71,出席状況!$A$1:$D$136,3,FALSE))</f>
        <v>37.800000000000004</v>
      </c>
      <c r="K71" s="71"/>
      <c r="L71" s="75">
        <v>2</v>
      </c>
      <c r="M71" s="75"/>
      <c r="N71" s="75"/>
      <c r="R71" s="80" t="s">
        <v>26</v>
      </c>
      <c r="S71" s="70">
        <f t="shared" si="5"/>
        <v>2</v>
      </c>
    </row>
    <row r="72" spans="1:19">
      <c r="A72" s="19">
        <f t="shared" si="6"/>
        <v>15</v>
      </c>
      <c r="B72" s="36">
        <v>18461</v>
      </c>
      <c r="C72" s="41" t="s">
        <v>248</v>
      </c>
      <c r="D72" s="41" t="s">
        <v>249</v>
      </c>
      <c r="E72" s="56">
        <v>0.96638655462184875</v>
      </c>
      <c r="F72" s="56">
        <v>0.967741935483871</v>
      </c>
      <c r="G72" s="56">
        <v>0.96875000000000011</v>
      </c>
      <c r="H72" s="53">
        <f>VLOOKUP(B72,出席状況!$A$1:$D$137,4,FALSE)</f>
        <v>0.9699248120300753</v>
      </c>
      <c r="I72" s="50" t="str">
        <f t="shared" si="4"/>
        <v>↑</v>
      </c>
      <c r="J72" s="27">
        <f>IF(B72="","",VLOOKUP(B72,出席状況!$A$1:$D$136,3,FALSE))</f>
        <v>16.8</v>
      </c>
      <c r="K72" s="71"/>
      <c r="L72" s="76">
        <v>2</v>
      </c>
      <c r="M72" s="76"/>
      <c r="N72" s="76"/>
      <c r="R72" s="80" t="s">
        <v>26</v>
      </c>
      <c r="S72" s="70">
        <f t="shared" si="5"/>
        <v>2</v>
      </c>
    </row>
    <row r="73" spans="1:19">
      <c r="A73" s="20">
        <f t="shared" si="6"/>
        <v>16</v>
      </c>
      <c r="B73" s="37">
        <v>18477</v>
      </c>
      <c r="C73" s="42" t="s">
        <v>250</v>
      </c>
      <c r="D73" s="42" t="s">
        <v>251</v>
      </c>
      <c r="E73" s="57">
        <v>0.86554621848739499</v>
      </c>
      <c r="F73" s="57">
        <v>0.87096774193548387</v>
      </c>
      <c r="G73" s="57">
        <v>0.875</v>
      </c>
      <c r="H73" s="54">
        <f>VLOOKUP(B73,出席状況!$A$1:$D$137,4,FALSE)</f>
        <v>0.87969924812030076</v>
      </c>
      <c r="I73" s="21" t="str">
        <f t="shared" si="4"/>
        <v>↑</v>
      </c>
      <c r="J73" s="28">
        <f>IF(B73="","",VLOOKUP(B73,出席状況!$A$1:$D$136,3,FALSE))</f>
        <v>67.2</v>
      </c>
      <c r="K73" s="71"/>
      <c r="L73" s="74">
        <v>3</v>
      </c>
      <c r="M73" s="74"/>
      <c r="N73" s="74"/>
      <c r="R73" s="81" t="s">
        <v>25</v>
      </c>
      <c r="S73" s="70">
        <f t="shared" si="5"/>
        <v>3</v>
      </c>
    </row>
    <row r="74" spans="1:19">
      <c r="A74" s="18">
        <f t="shared" si="6"/>
        <v>17</v>
      </c>
      <c r="B74" s="35">
        <v>18480</v>
      </c>
      <c r="C74" s="40" t="s">
        <v>252</v>
      </c>
      <c r="D74" s="40" t="s">
        <v>253</v>
      </c>
      <c r="E74" s="46">
        <v>0.91596638655462181</v>
      </c>
      <c r="F74" s="46">
        <v>0.91935483870967738</v>
      </c>
      <c r="G74" s="46">
        <v>0.9140625</v>
      </c>
      <c r="H74" s="47">
        <f>VLOOKUP(B74,出席状況!$A$1:$D$137,4,FALSE)</f>
        <v>0.91729323308270672</v>
      </c>
      <c r="I74" s="44" t="str">
        <f t="shared" si="4"/>
        <v>↑</v>
      </c>
      <c r="J74" s="26">
        <f>IF(B74="","",VLOOKUP(B74,出席状況!$A$1:$D$136,3,FALSE))</f>
        <v>46.20000000000001</v>
      </c>
      <c r="K74" s="71"/>
      <c r="L74" s="75">
        <v>3</v>
      </c>
      <c r="M74" s="75"/>
      <c r="N74" s="75"/>
      <c r="R74" s="81" t="s">
        <v>25</v>
      </c>
      <c r="S74" s="70">
        <f t="shared" si="5"/>
        <v>3</v>
      </c>
    </row>
    <row r="75" spans="1:19">
      <c r="A75" s="18">
        <f t="shared" si="6"/>
        <v>18</v>
      </c>
      <c r="B75" s="35">
        <v>18492</v>
      </c>
      <c r="C75" s="40" t="s">
        <v>254</v>
      </c>
      <c r="D75" s="40" t="s">
        <v>255</v>
      </c>
      <c r="E75" s="46">
        <v>0.94957983193277318</v>
      </c>
      <c r="F75" s="46">
        <v>0.95161290322580649</v>
      </c>
      <c r="G75" s="46">
        <v>0.95312499999999989</v>
      </c>
      <c r="H75" s="47">
        <f>VLOOKUP(B75,出席状況!$A$1:$D$137,4,FALSE)</f>
        <v>0.95488721804511267</v>
      </c>
      <c r="I75" s="44" t="str">
        <f t="shared" si="4"/>
        <v>↑</v>
      </c>
      <c r="J75" s="26">
        <f>IF(B75="","",VLOOKUP(B75,出席状況!$A$1:$D$136,3,FALSE))</f>
        <v>25.2</v>
      </c>
      <c r="K75" s="71"/>
      <c r="L75" s="75">
        <v>3</v>
      </c>
      <c r="M75" s="75"/>
      <c r="N75" s="75"/>
      <c r="R75" s="81" t="s">
        <v>25</v>
      </c>
      <c r="S75" s="70">
        <f t="shared" si="5"/>
        <v>3</v>
      </c>
    </row>
    <row r="76" spans="1:19">
      <c r="A76" s="18">
        <f t="shared" si="6"/>
        <v>19</v>
      </c>
      <c r="B76" s="35">
        <v>18572</v>
      </c>
      <c r="C76" s="40" t="s">
        <v>256</v>
      </c>
      <c r="D76" s="40" t="s">
        <v>257</v>
      </c>
      <c r="E76" s="46">
        <v>1</v>
      </c>
      <c r="F76" s="46">
        <v>1</v>
      </c>
      <c r="G76" s="46">
        <v>1</v>
      </c>
      <c r="H76" s="47">
        <f>VLOOKUP(B76,出席状況!$A$1:$D$137,4,FALSE)</f>
        <v>1</v>
      </c>
      <c r="I76" s="44" t="str">
        <f t="shared" si="4"/>
        <v>　→</v>
      </c>
      <c r="J76" s="26">
        <f>IF(B76="","",VLOOKUP(B76,出席状況!$A$1:$D$136,3,FALSE))</f>
        <v>0</v>
      </c>
      <c r="K76" s="71"/>
      <c r="L76" s="75">
        <v>3</v>
      </c>
      <c r="M76" s="75"/>
      <c r="N76" s="75"/>
      <c r="R76" s="81" t="s">
        <v>25</v>
      </c>
      <c r="S76" s="70">
        <f t="shared" si="5"/>
        <v>3</v>
      </c>
    </row>
    <row r="77" spans="1:19">
      <c r="A77" s="19">
        <f t="shared" si="6"/>
        <v>20</v>
      </c>
      <c r="B77" s="36">
        <v>18573</v>
      </c>
      <c r="C77" s="41" t="s">
        <v>258</v>
      </c>
      <c r="D77" s="41" t="s">
        <v>259</v>
      </c>
      <c r="E77" s="56">
        <v>0.98319327731092443</v>
      </c>
      <c r="F77" s="56">
        <v>0.9838709677419355</v>
      </c>
      <c r="G77" s="56">
        <v>0.984375</v>
      </c>
      <c r="H77" s="53">
        <f>VLOOKUP(B77,出席状況!$A$1:$D$137,4,FALSE)</f>
        <v>0.98496240601503759</v>
      </c>
      <c r="I77" s="50" t="str">
        <f t="shared" si="4"/>
        <v>↑</v>
      </c>
      <c r="J77" s="27">
        <f>IF(B77="","",VLOOKUP(B77,出席状況!$A$1:$D$136,3,FALSE))</f>
        <v>8.4</v>
      </c>
      <c r="K77" s="71"/>
      <c r="L77" s="76">
        <v>3</v>
      </c>
      <c r="M77" s="76"/>
      <c r="N77" s="76"/>
      <c r="R77" s="81" t="s">
        <v>25</v>
      </c>
      <c r="S77" s="70">
        <f t="shared" si="5"/>
        <v>3</v>
      </c>
    </row>
    <row r="78" spans="1:19">
      <c r="A78" s="20">
        <f t="shared" si="6"/>
        <v>21</v>
      </c>
      <c r="B78" s="37">
        <v>18589</v>
      </c>
      <c r="C78" s="42" t="s">
        <v>260</v>
      </c>
      <c r="D78" s="42" t="s">
        <v>261</v>
      </c>
      <c r="E78" s="57">
        <v>0.81752701080432177</v>
      </c>
      <c r="F78" s="57">
        <v>0.8248847926267282</v>
      </c>
      <c r="G78" s="57">
        <v>0.8303571428571429</v>
      </c>
      <c r="H78" s="54">
        <f>VLOOKUP(B78,出席状況!$A$1:$D$137,4,FALSE)</f>
        <v>0.83673469387755106</v>
      </c>
      <c r="I78" s="21" t="str">
        <f t="shared" si="4"/>
        <v>↑</v>
      </c>
      <c r="J78" s="28">
        <f>IF(B78="","",VLOOKUP(B78,出席状況!$A$1:$D$136,3,FALSE))</f>
        <v>91.2</v>
      </c>
      <c r="K78" s="71"/>
      <c r="L78" s="74">
        <v>3</v>
      </c>
      <c r="M78" s="74"/>
      <c r="N78" s="74"/>
      <c r="R78" s="81" t="s">
        <v>25</v>
      </c>
      <c r="S78" s="70">
        <f t="shared" si="5"/>
        <v>3</v>
      </c>
    </row>
    <row r="79" spans="1:19" s="71" customFormat="1">
      <c r="A79" s="18">
        <f t="shared" si="6"/>
        <v>22</v>
      </c>
      <c r="B79" s="35">
        <v>18606</v>
      </c>
      <c r="C79" s="40" t="s">
        <v>262</v>
      </c>
      <c r="D79" s="40" t="s">
        <v>263</v>
      </c>
      <c r="E79" s="46">
        <v>0.69089390142021723</v>
      </c>
      <c r="F79" s="46">
        <v>0.70388155262104846</v>
      </c>
      <c r="G79" s="46">
        <v>0.71157568718544328</v>
      </c>
      <c r="H79" s="47">
        <f>VLOOKUP(B79,出席状況!$A$1:$D$137,4,FALSE)</f>
        <v>0.72284226190476186</v>
      </c>
      <c r="I79" s="44" t="str">
        <f t="shared" si="4"/>
        <v>↑</v>
      </c>
      <c r="J79" s="26">
        <f>IF(B79="","",VLOOKUP(B79,出席状況!$A$1:$D$136,3,FALSE))</f>
        <v>149</v>
      </c>
      <c r="L79" s="75">
        <v>2</v>
      </c>
      <c r="M79" s="75"/>
      <c r="N79" s="75"/>
      <c r="O79" s="72"/>
      <c r="R79" s="80" t="s">
        <v>26</v>
      </c>
      <c r="S79" s="70">
        <f t="shared" si="5"/>
        <v>2</v>
      </c>
    </row>
    <row r="80" spans="1:19">
      <c r="A80" s="18">
        <f t="shared" si="6"/>
        <v>23</v>
      </c>
      <c r="B80" s="35">
        <v>18621</v>
      </c>
      <c r="C80" s="40" t="s">
        <v>264</v>
      </c>
      <c r="D80" s="40" t="s">
        <v>265</v>
      </c>
      <c r="E80" s="46">
        <v>0.88875550220088029</v>
      </c>
      <c r="F80" s="46">
        <v>0.89324116743471582</v>
      </c>
      <c r="G80" s="46">
        <v>0.89657738095238093</v>
      </c>
      <c r="H80" s="47">
        <f>VLOOKUP(B80,出席状況!$A$1:$D$137,4,FALSE)</f>
        <v>0.90046544933762973</v>
      </c>
      <c r="I80" s="44" t="str">
        <f t="shared" si="4"/>
        <v>↑</v>
      </c>
      <c r="J80" s="26">
        <f>IF(B80="","",VLOOKUP(B80,出席状況!$A$1:$D$136,3,FALSE))</f>
        <v>55.6</v>
      </c>
      <c r="K80" s="71"/>
      <c r="L80" s="75">
        <v>2</v>
      </c>
      <c r="M80" s="75"/>
      <c r="N80" s="75"/>
      <c r="R80" s="80" t="s">
        <v>26</v>
      </c>
      <c r="S80" s="70">
        <f t="shared" si="5"/>
        <v>2</v>
      </c>
    </row>
    <row r="81" spans="1:19">
      <c r="A81" s="18">
        <f t="shared" si="6"/>
        <v>24</v>
      </c>
      <c r="B81" s="35"/>
      <c r="C81" s="40"/>
      <c r="D81" s="40"/>
      <c r="E81" s="46"/>
      <c r="F81" s="46"/>
      <c r="G81" s="46"/>
      <c r="H81" s="47"/>
      <c r="I81" s="44" t="str">
        <f t="shared" si="4"/>
        <v>　→</v>
      </c>
      <c r="J81" s="26" t="str">
        <f>IF(B81="","",VLOOKUP(B81,出席状況!$A$1:$D$136,3,FALSE))</f>
        <v/>
      </c>
      <c r="K81" s="71"/>
      <c r="L81" s="75">
        <v>2</v>
      </c>
      <c r="M81" s="75"/>
      <c r="N81" s="75"/>
      <c r="R81" s="80" t="s">
        <v>26</v>
      </c>
      <c r="S81" s="70">
        <f t="shared" si="5"/>
        <v>2</v>
      </c>
    </row>
    <row r="82" spans="1:19">
      <c r="A82" s="19">
        <f t="shared" si="6"/>
        <v>25</v>
      </c>
      <c r="B82" s="36"/>
      <c r="C82" s="41"/>
      <c r="D82" s="41"/>
      <c r="E82" s="56"/>
      <c r="F82" s="56"/>
      <c r="G82" s="56"/>
      <c r="H82" s="53"/>
      <c r="I82" s="50" t="str">
        <f t="shared" si="4"/>
        <v>　→</v>
      </c>
      <c r="J82" s="27" t="str">
        <f>IF(B82="","",VLOOKUP(B82,出席状況!$A$1:$D$136,3,FALSE))</f>
        <v/>
      </c>
      <c r="K82" s="71"/>
      <c r="L82" s="76">
        <v>3</v>
      </c>
      <c r="M82" s="76"/>
      <c r="N82" s="76"/>
      <c r="R82" s="81" t="s">
        <v>25</v>
      </c>
      <c r="S82" s="70">
        <f t="shared" si="5"/>
        <v>3</v>
      </c>
    </row>
    <row r="83" spans="1:19">
      <c r="A83" s="20">
        <f t="shared" si="6"/>
        <v>26</v>
      </c>
      <c r="B83" s="37">
        <v>18304</v>
      </c>
      <c r="C83" s="42" t="s">
        <v>266</v>
      </c>
      <c r="D83" s="42" t="s">
        <v>267</v>
      </c>
      <c r="E83" s="57">
        <v>0.98759503801520609</v>
      </c>
      <c r="F83" s="57">
        <v>0.98809523809523803</v>
      </c>
      <c r="G83" s="57">
        <v>0.98846726190476186</v>
      </c>
      <c r="H83" s="54">
        <f>VLOOKUP(B83,出席状況!$A$1:$D$137,4,FALSE)</f>
        <v>0.98890082348728958</v>
      </c>
      <c r="I83" s="21" t="str">
        <f t="shared" si="4"/>
        <v>↑</v>
      </c>
      <c r="J83" s="28">
        <f>IF(B83="","",VLOOKUP(B83,出席状況!$A$1:$D$136,3,FALSE))</f>
        <v>6.2</v>
      </c>
      <c r="K83" s="71"/>
      <c r="L83" s="74">
        <v>3</v>
      </c>
      <c r="M83" s="74"/>
      <c r="N83" s="74"/>
      <c r="R83" s="81" t="s">
        <v>25</v>
      </c>
      <c r="S83" s="70">
        <f t="shared" si="5"/>
        <v>3</v>
      </c>
    </row>
    <row r="84" spans="1:19">
      <c r="A84" s="18">
        <f t="shared" si="6"/>
        <v>27</v>
      </c>
      <c r="B84" s="35">
        <v>18321</v>
      </c>
      <c r="C84" s="40" t="s">
        <v>268</v>
      </c>
      <c r="D84" s="40" t="s">
        <v>269</v>
      </c>
      <c r="E84" s="46">
        <v>0.89915966386554624</v>
      </c>
      <c r="F84" s="46">
        <v>0.90322580645161299</v>
      </c>
      <c r="G84" s="46">
        <v>0.8984375</v>
      </c>
      <c r="H84" s="47">
        <f>VLOOKUP(B84,出席状況!$A$1:$D$137,4,FALSE)</f>
        <v>0.90225563909774431</v>
      </c>
      <c r="I84" s="44" t="str">
        <f t="shared" si="4"/>
        <v>↑</v>
      </c>
      <c r="J84" s="26">
        <f>IF(B84="","",VLOOKUP(B84,出席状況!$A$1:$D$136,3,FALSE))</f>
        <v>54.6</v>
      </c>
      <c r="K84" s="71"/>
      <c r="L84" s="75">
        <v>2</v>
      </c>
      <c r="M84" s="75"/>
      <c r="N84" s="75"/>
      <c r="R84" s="80" t="s">
        <v>26</v>
      </c>
      <c r="S84" s="70">
        <f t="shared" si="5"/>
        <v>2</v>
      </c>
    </row>
    <row r="85" spans="1:19">
      <c r="A85" s="18">
        <f t="shared" si="6"/>
        <v>28</v>
      </c>
      <c r="B85" s="35">
        <v>18338</v>
      </c>
      <c r="C85" s="40" t="s">
        <v>270</v>
      </c>
      <c r="D85" s="40" t="s">
        <v>271</v>
      </c>
      <c r="E85" s="46">
        <v>0.9243697478991596</v>
      </c>
      <c r="F85" s="46">
        <v>0.92741935483870963</v>
      </c>
      <c r="G85" s="46">
        <v>0.921875</v>
      </c>
      <c r="H85" s="47">
        <f>VLOOKUP(B85,出席状況!$A$1:$D$137,4,FALSE)</f>
        <v>0.92481203007518797</v>
      </c>
      <c r="I85" s="44" t="str">
        <f t="shared" si="4"/>
        <v>↑</v>
      </c>
      <c r="J85" s="26">
        <f>IF(B85="","",VLOOKUP(B85,出席状況!$A$1:$D$136,3,FALSE))</f>
        <v>42.000000000000007</v>
      </c>
      <c r="K85" s="71"/>
      <c r="L85" s="75">
        <v>3</v>
      </c>
      <c r="M85" s="75"/>
      <c r="N85" s="75"/>
      <c r="R85" s="81" t="s">
        <v>25</v>
      </c>
      <c r="S85" s="70">
        <f t="shared" si="5"/>
        <v>3</v>
      </c>
    </row>
    <row r="86" spans="1:19">
      <c r="A86" s="18">
        <f t="shared" si="6"/>
        <v>29</v>
      </c>
      <c r="B86" s="35">
        <v>18451</v>
      </c>
      <c r="C86" s="40" t="s">
        <v>272</v>
      </c>
      <c r="D86" s="40" t="s">
        <v>273</v>
      </c>
      <c r="E86" s="46">
        <v>0.99599839935974388</v>
      </c>
      <c r="F86" s="46">
        <v>0.99615975422427039</v>
      </c>
      <c r="G86" s="46">
        <v>0.99627976190476186</v>
      </c>
      <c r="H86" s="47">
        <f>VLOOKUP(B86,出席状況!$A$1:$D$137,4,FALSE)</f>
        <v>0.99641962047977084</v>
      </c>
      <c r="I86" s="44" t="str">
        <f t="shared" si="4"/>
        <v>↑</v>
      </c>
      <c r="J86" s="26">
        <f>IF(B86="","",VLOOKUP(B86,出席状況!$A$1:$D$136,3,FALSE))</f>
        <v>2</v>
      </c>
      <c r="K86" s="71"/>
      <c r="L86" s="75">
        <v>3</v>
      </c>
      <c r="M86" s="75"/>
      <c r="N86" s="75"/>
      <c r="R86" s="81" t="s">
        <v>25</v>
      </c>
      <c r="S86" s="70">
        <f t="shared" si="5"/>
        <v>3</v>
      </c>
    </row>
    <row r="87" spans="1:19">
      <c r="A87" s="19">
        <f t="shared" si="6"/>
        <v>30</v>
      </c>
      <c r="B87" s="36">
        <v>18503</v>
      </c>
      <c r="C87" s="41" t="s">
        <v>274</v>
      </c>
      <c r="D87" s="41" t="s">
        <v>275</v>
      </c>
      <c r="E87" s="56">
        <v>0.84873949579831931</v>
      </c>
      <c r="F87" s="56">
        <v>0.85483870967741937</v>
      </c>
      <c r="G87" s="56">
        <v>0.8515625</v>
      </c>
      <c r="H87" s="53">
        <f>VLOOKUP(B87,出席状況!$A$1:$D$137,4,FALSE)</f>
        <v>0.8571428571428571</v>
      </c>
      <c r="I87" s="50" t="str">
        <f t="shared" si="4"/>
        <v>↑</v>
      </c>
      <c r="J87" s="27">
        <f>IF(B87="","",VLOOKUP(B87,出席状況!$A$1:$D$136,3,FALSE))</f>
        <v>79.800000000000011</v>
      </c>
      <c r="K87" s="71"/>
      <c r="L87" s="76">
        <v>3</v>
      </c>
      <c r="M87" s="76"/>
      <c r="N87" s="76"/>
      <c r="R87" s="81" t="s">
        <v>25</v>
      </c>
      <c r="S87" s="70">
        <f t="shared" si="5"/>
        <v>3</v>
      </c>
    </row>
    <row r="88" spans="1:19">
      <c r="A88" s="20">
        <f t="shared" si="6"/>
        <v>31</v>
      </c>
      <c r="B88" s="37">
        <v>18565</v>
      </c>
      <c r="C88" s="42" t="s">
        <v>276</v>
      </c>
      <c r="D88" s="42" t="s">
        <v>277</v>
      </c>
      <c r="E88" s="57">
        <v>0.95198079231692678</v>
      </c>
      <c r="F88" s="57">
        <v>0.95391705069124422</v>
      </c>
      <c r="G88" s="57">
        <v>0.9553571428571429</v>
      </c>
      <c r="H88" s="54">
        <f>VLOOKUP(B88,出席状況!$A$1:$D$137,4,FALSE)</f>
        <v>0.9570354457572503</v>
      </c>
      <c r="I88" s="21" t="str">
        <f t="shared" si="4"/>
        <v>↑</v>
      </c>
      <c r="J88" s="28">
        <f>IF(B88="","",VLOOKUP(B88,出席状況!$A$1:$D$136,3,FALSE))</f>
        <v>24</v>
      </c>
      <c r="K88" s="71"/>
      <c r="L88" s="74">
        <v>3</v>
      </c>
      <c r="M88" s="74"/>
      <c r="N88" s="74"/>
      <c r="R88" s="81" t="s">
        <v>25</v>
      </c>
      <c r="S88" s="70">
        <f t="shared" si="5"/>
        <v>3</v>
      </c>
    </row>
    <row r="89" spans="1:19">
      <c r="A89" s="18">
        <f t="shared" si="6"/>
        <v>32</v>
      </c>
      <c r="B89" s="85" t="s">
        <v>300</v>
      </c>
      <c r="C89" s="86" t="s">
        <v>278</v>
      </c>
      <c r="D89" s="86" t="s">
        <v>279</v>
      </c>
      <c r="E89" s="87"/>
      <c r="F89" s="87"/>
      <c r="G89" s="87"/>
      <c r="H89" s="88"/>
      <c r="I89" s="89" t="str">
        <f t="shared" si="4"/>
        <v>　→</v>
      </c>
      <c r="J89" s="90" t="e">
        <f>IF(B89="","",VLOOKUP(B89,出席状況!$A$1:$D$136,3,FALSE))</f>
        <v>#N/A</v>
      </c>
      <c r="K89" s="71"/>
      <c r="L89" s="75">
        <v>3</v>
      </c>
      <c r="M89" s="75"/>
      <c r="N89" s="75"/>
      <c r="R89" s="81" t="s">
        <v>25</v>
      </c>
      <c r="S89" s="70">
        <f t="shared" si="5"/>
        <v>3</v>
      </c>
    </row>
    <row r="90" spans="1:19">
      <c r="A90" s="18">
        <f t="shared" si="6"/>
        <v>33</v>
      </c>
      <c r="B90" s="35">
        <v>18596</v>
      </c>
      <c r="C90" s="40" t="s">
        <v>280</v>
      </c>
      <c r="D90" s="40" t="s">
        <v>281</v>
      </c>
      <c r="E90" s="46">
        <v>0.86194477791116442</v>
      </c>
      <c r="F90" s="46">
        <v>0.86751152073732718</v>
      </c>
      <c r="G90" s="46">
        <v>0.86793154761904767</v>
      </c>
      <c r="H90" s="47">
        <f>VLOOKUP(B90,出席状況!$A$1:$D$137,4,FALSE)</f>
        <v>0.87289652703186538</v>
      </c>
      <c r="I90" s="44" t="str">
        <f t="shared" si="4"/>
        <v>↑</v>
      </c>
      <c r="J90" s="26">
        <f>IF(B90="","",VLOOKUP(B90,出席状況!$A$1:$D$136,3,FALSE))</f>
        <v>71</v>
      </c>
      <c r="K90" s="71"/>
      <c r="L90" s="75">
        <v>2</v>
      </c>
      <c r="M90" s="75"/>
      <c r="N90" s="75"/>
      <c r="R90" s="80" t="s">
        <v>26</v>
      </c>
      <c r="S90" s="70">
        <f t="shared" si="5"/>
        <v>2</v>
      </c>
    </row>
    <row r="91" spans="1:19">
      <c r="A91" s="18">
        <f t="shared" si="6"/>
        <v>34</v>
      </c>
      <c r="B91" s="35">
        <v>18601</v>
      </c>
      <c r="C91" s="40" t="s">
        <v>282</v>
      </c>
      <c r="D91" s="40" t="s">
        <v>283</v>
      </c>
      <c r="E91" s="46">
        <v>0.89555822328931578</v>
      </c>
      <c r="F91" s="46">
        <v>0.89976958525345629</v>
      </c>
      <c r="G91" s="46">
        <v>0.8716517857142857</v>
      </c>
      <c r="H91" s="47">
        <f>VLOOKUP(B91,出席状況!$A$1:$D$137,4,FALSE)</f>
        <v>0.87647690655209454</v>
      </c>
      <c r="I91" s="44" t="str">
        <f t="shared" si="4"/>
        <v>↑</v>
      </c>
      <c r="J91" s="26">
        <f>IF(B91="","",VLOOKUP(B91,出席状況!$A$1:$D$136,3,FALSE))</f>
        <v>69</v>
      </c>
      <c r="K91" s="71"/>
      <c r="L91" s="75">
        <v>3</v>
      </c>
      <c r="M91" s="75"/>
      <c r="N91" s="75"/>
      <c r="R91" s="81" t="s">
        <v>25</v>
      </c>
      <c r="S91" s="70">
        <f t="shared" si="5"/>
        <v>3</v>
      </c>
    </row>
    <row r="92" spans="1:19">
      <c r="A92" s="19">
        <f t="shared" si="6"/>
        <v>35</v>
      </c>
      <c r="B92" s="36">
        <v>18605</v>
      </c>
      <c r="C92" s="41" t="s">
        <v>284</v>
      </c>
      <c r="D92" s="41" t="s">
        <v>285</v>
      </c>
      <c r="E92" s="56">
        <v>0.93277310924369738</v>
      </c>
      <c r="F92" s="56">
        <v>0.93548387096774188</v>
      </c>
      <c r="G92" s="56">
        <v>0.9375</v>
      </c>
      <c r="H92" s="53">
        <f>VLOOKUP(B92,出席状況!$A$1:$D$137,4,FALSE)</f>
        <v>0.93984962406015038</v>
      </c>
      <c r="I92" s="50" t="str">
        <f t="shared" si="4"/>
        <v>↑</v>
      </c>
      <c r="J92" s="27">
        <f>IF(B92="","",VLOOKUP(B92,出席状況!$A$1:$D$136,3,FALSE))</f>
        <v>33.6</v>
      </c>
      <c r="K92" s="71"/>
      <c r="L92" s="76">
        <v>2</v>
      </c>
      <c r="M92" s="76"/>
      <c r="N92" s="76"/>
      <c r="R92" s="80" t="s">
        <v>26</v>
      </c>
      <c r="S92" s="70">
        <f t="shared" si="5"/>
        <v>2</v>
      </c>
    </row>
    <row r="93" spans="1:19">
      <c r="A93" s="20">
        <f t="shared" si="6"/>
        <v>36</v>
      </c>
      <c r="B93" s="37">
        <v>18610</v>
      </c>
      <c r="C93" s="42" t="s">
        <v>286</v>
      </c>
      <c r="D93" s="42" t="s">
        <v>287</v>
      </c>
      <c r="E93" s="57">
        <v>0.82352941176470595</v>
      </c>
      <c r="F93" s="57">
        <v>0.83064516129032251</v>
      </c>
      <c r="G93" s="57">
        <v>0.8125</v>
      </c>
      <c r="H93" s="54">
        <f>VLOOKUP(B93,出席状況!$A$1:$D$137,4,FALSE)</f>
        <v>0.81954887218045114</v>
      </c>
      <c r="I93" s="21" t="str">
        <f t="shared" si="4"/>
        <v>↑</v>
      </c>
      <c r="J93" s="28">
        <f>IF(B93="","",VLOOKUP(B93,出席状況!$A$1:$D$136,3,FALSE))</f>
        <v>100.80000000000001</v>
      </c>
      <c r="K93" s="71"/>
      <c r="L93" s="74">
        <v>3</v>
      </c>
      <c r="M93" s="74"/>
      <c r="N93" s="74"/>
      <c r="R93" s="81" t="s">
        <v>25</v>
      </c>
      <c r="S93" s="70">
        <f t="shared" si="5"/>
        <v>3</v>
      </c>
    </row>
    <row r="94" spans="1:19">
      <c r="A94" s="18">
        <f t="shared" si="6"/>
        <v>37</v>
      </c>
      <c r="B94" s="35"/>
      <c r="C94" s="40"/>
      <c r="D94" s="40"/>
      <c r="E94" s="46"/>
      <c r="F94" s="46"/>
      <c r="G94" s="46"/>
      <c r="H94" s="47"/>
      <c r="I94" s="44" t="str">
        <f t="shared" si="4"/>
        <v>　→</v>
      </c>
      <c r="J94" s="26" t="str">
        <f>IF(B94="","",VLOOKUP(B94,出席状況!$A$1:$D$136,3,FALSE))</f>
        <v/>
      </c>
      <c r="K94" s="71"/>
      <c r="L94" s="75">
        <v>3</v>
      </c>
      <c r="M94" s="75"/>
      <c r="N94" s="75"/>
      <c r="R94" s="81" t="s">
        <v>25</v>
      </c>
      <c r="S94" s="70">
        <f t="shared" si="5"/>
        <v>3</v>
      </c>
    </row>
    <row r="95" spans="1:19">
      <c r="A95" s="18">
        <f t="shared" si="6"/>
        <v>38</v>
      </c>
      <c r="B95" s="35"/>
      <c r="C95" s="40"/>
      <c r="D95" s="40"/>
      <c r="E95" s="46"/>
      <c r="F95" s="46"/>
      <c r="G95" s="46"/>
      <c r="H95" s="47"/>
      <c r="I95" s="44" t="str">
        <f t="shared" si="4"/>
        <v>　→</v>
      </c>
      <c r="J95" s="26" t="str">
        <f>IF(B95="","",VLOOKUP(B95,出席状況!$A$1:$D$136,3,FALSE))</f>
        <v/>
      </c>
      <c r="K95" s="71"/>
      <c r="L95" s="75">
        <v>3</v>
      </c>
      <c r="M95" s="75"/>
      <c r="N95" s="75"/>
      <c r="R95" s="81" t="s">
        <v>25</v>
      </c>
      <c r="S95" s="70">
        <f t="shared" si="5"/>
        <v>3</v>
      </c>
    </row>
    <row r="96" spans="1:19">
      <c r="A96" s="18">
        <f t="shared" si="6"/>
        <v>39</v>
      </c>
      <c r="B96" s="35"/>
      <c r="C96" s="40"/>
      <c r="D96" s="40"/>
      <c r="E96" s="46"/>
      <c r="F96" s="46"/>
      <c r="G96" s="46"/>
      <c r="H96" s="47"/>
      <c r="I96" s="44" t="str">
        <f t="shared" si="4"/>
        <v>　→</v>
      </c>
      <c r="J96" s="26" t="str">
        <f>IF(B96="","",VLOOKUP(B96,出席状況!$A$1:$D$136,3,FALSE))</f>
        <v/>
      </c>
      <c r="K96" s="71"/>
      <c r="L96" s="75">
        <v>3</v>
      </c>
      <c r="M96" s="75"/>
      <c r="N96" s="75"/>
      <c r="R96" s="81" t="s">
        <v>25</v>
      </c>
      <c r="S96" s="70">
        <f t="shared" si="5"/>
        <v>3</v>
      </c>
    </row>
    <row r="97" spans="1:19">
      <c r="A97" s="19">
        <f t="shared" si="6"/>
        <v>40</v>
      </c>
      <c r="B97" s="36"/>
      <c r="C97" s="41"/>
      <c r="D97" s="41"/>
      <c r="E97" s="56"/>
      <c r="F97" s="56"/>
      <c r="G97" s="56"/>
      <c r="H97" s="53"/>
      <c r="I97" s="50" t="str">
        <f t="shared" si="4"/>
        <v>　→</v>
      </c>
      <c r="J97" s="27" t="str">
        <f>IF(B97="","",VLOOKUP(B97,出席状況!$A$1:$D$136,3,FALSE))</f>
        <v/>
      </c>
      <c r="K97" s="71"/>
      <c r="L97" s="76">
        <v>2</v>
      </c>
      <c r="M97" s="76"/>
      <c r="N97" s="76"/>
      <c r="R97" s="80" t="s">
        <v>26</v>
      </c>
      <c r="S97" s="70">
        <f t="shared" si="5"/>
        <v>2</v>
      </c>
    </row>
    <row r="98" spans="1:19">
      <c r="A98" s="20">
        <f t="shared" si="6"/>
        <v>41</v>
      </c>
      <c r="B98" s="37"/>
      <c r="C98" s="42"/>
      <c r="D98" s="42"/>
      <c r="E98" s="57"/>
      <c r="F98" s="57"/>
      <c r="G98" s="57"/>
      <c r="H98" s="54"/>
      <c r="I98" s="21" t="str">
        <f t="shared" si="4"/>
        <v>　→</v>
      </c>
      <c r="J98" s="28" t="str">
        <f>IF(B98="","",VLOOKUP(B98,出席状況!$A$1:$D$136,3,FALSE))</f>
        <v/>
      </c>
      <c r="K98" s="71"/>
      <c r="L98" s="74">
        <v>3</v>
      </c>
      <c r="M98" s="74"/>
      <c r="N98" s="74"/>
      <c r="R98" s="81" t="s">
        <v>25</v>
      </c>
      <c r="S98" s="70">
        <f t="shared" si="5"/>
        <v>3</v>
      </c>
    </row>
    <row r="99" spans="1:19" s="71" customFormat="1">
      <c r="A99" s="18">
        <f t="shared" si="6"/>
        <v>42</v>
      </c>
      <c r="B99" s="35"/>
      <c r="C99" s="40"/>
      <c r="D99" s="40"/>
      <c r="E99" s="46"/>
      <c r="F99" s="46"/>
      <c r="G99" s="46"/>
      <c r="H99" s="47"/>
      <c r="I99" s="44" t="str">
        <f t="shared" si="4"/>
        <v>　→</v>
      </c>
      <c r="J99" s="26" t="str">
        <f>IF(B99="","",VLOOKUP(B99,出席状況!$A$1:$D$136,3,FALSE))</f>
        <v/>
      </c>
      <c r="L99" s="75">
        <v>3</v>
      </c>
      <c r="M99" s="75"/>
      <c r="N99" s="75"/>
      <c r="O99" s="73"/>
      <c r="R99" s="81" t="s">
        <v>25</v>
      </c>
      <c r="S99" s="70">
        <f t="shared" si="5"/>
        <v>3</v>
      </c>
    </row>
    <row r="100" spans="1:19">
      <c r="A100" s="18">
        <f t="shared" si="6"/>
        <v>43</v>
      </c>
      <c r="B100" s="35"/>
      <c r="C100" s="40"/>
      <c r="D100" s="40"/>
      <c r="E100" s="46"/>
      <c r="F100" s="46"/>
      <c r="G100" s="46"/>
      <c r="H100" s="47"/>
      <c r="I100" s="44" t="str">
        <f t="shared" si="4"/>
        <v>　→</v>
      </c>
      <c r="J100" s="26" t="str">
        <f>IF(B100="","",VLOOKUP(B100,出席状況!$A$1:$D$136,3,FALSE))</f>
        <v/>
      </c>
      <c r="K100" s="71"/>
      <c r="L100" s="75">
        <v>2</v>
      </c>
      <c r="M100" s="75"/>
      <c r="N100" s="75"/>
      <c r="R100" s="80" t="s">
        <v>26</v>
      </c>
      <c r="S100" s="70">
        <f t="shared" si="5"/>
        <v>2</v>
      </c>
    </row>
    <row r="101" spans="1:19">
      <c r="A101" s="18">
        <f t="shared" si="6"/>
        <v>44</v>
      </c>
      <c r="B101" s="35"/>
      <c r="C101" s="40"/>
      <c r="D101" s="40"/>
      <c r="E101" s="46"/>
      <c r="F101" s="46"/>
      <c r="G101" s="46"/>
      <c r="H101" s="47"/>
      <c r="I101" s="44" t="str">
        <f t="shared" si="4"/>
        <v>　→</v>
      </c>
      <c r="J101" s="26" t="str">
        <f>IF(B101="","",VLOOKUP(B101,出席状況!$A$1:$D$136,3,FALSE))</f>
        <v/>
      </c>
      <c r="K101" s="71"/>
      <c r="L101" s="75">
        <v>3</v>
      </c>
      <c r="M101" s="75"/>
      <c r="N101" s="75"/>
      <c r="R101" s="81" t="s">
        <v>25</v>
      </c>
      <c r="S101" s="70">
        <f t="shared" si="5"/>
        <v>3</v>
      </c>
    </row>
    <row r="102" spans="1:19" ht="12" thickBot="1">
      <c r="A102" s="77">
        <f t="shared" si="6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4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9" ht="12" thickBot="1">
      <c r="D103" s="45" t="s">
        <v>12</v>
      </c>
      <c r="E103" s="33">
        <f>AVERAGE(E58:E102)</f>
        <v>0.8954435575399754</v>
      </c>
      <c r="F103" s="33">
        <f>AVERAGE(F58:F102)</f>
        <v>0.89967541268706885</v>
      </c>
      <c r="G103" s="33">
        <f>AVERAGE(G58:G102)</f>
        <v>0.89667563409941453</v>
      </c>
      <c r="H103" s="33">
        <f>AVERAGE(H58:H102)</f>
        <v>0.90057284377068225</v>
      </c>
      <c r="I103" s="13" t="str">
        <f t="shared" si="4"/>
        <v>↑</v>
      </c>
    </row>
    <row r="104" spans="1:19">
      <c r="L104" s="70">
        <f>COUNTIF(L$58:L$102,"=2")</f>
        <v>14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9">
      <c r="L105" s="70">
        <f>COUNTIF(L$58:L$102,"=3")</f>
        <v>30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9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E9:H30 E34:H43 E58:H80 E83:H93">
    <cfRule type="expression" dxfId="139" priority="1">
      <formula>$H9&lt;65%</formula>
    </cfRule>
    <cfRule type="expression" dxfId="138" priority="2">
      <formula>$H9&lt;75%</formula>
    </cfRule>
    <cfRule type="expression" dxfId="137" priority="3">
      <formula>$H9&lt;80%</formula>
    </cfRule>
    <cfRule type="expression" dxfId="136" priority="4">
      <formula>$H9&lt;85%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26"/>
  <sheetViews>
    <sheetView zoomScale="115" zoomScaleNormal="115" zoomScalePageLayoutView="85" workbookViewId="0">
      <selection activeCell="H13" sqref="H13"/>
    </sheetView>
  </sheetViews>
  <sheetFormatPr defaultRowHeight="11.2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8" ht="17.25">
      <c r="C1" s="121" t="s">
        <v>3</v>
      </c>
      <c r="D1" s="121"/>
      <c r="E1" s="121"/>
      <c r="F1" s="121"/>
    </row>
    <row r="2" spans="1:18" ht="12" thickBot="1">
      <c r="C2" s="1"/>
      <c r="D2" s="1"/>
      <c r="G2" s="4" t="s">
        <v>8</v>
      </c>
    </row>
    <row r="3" spans="1:18" s="2" customFormat="1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COUNTIF(L$9:L$21,"=2")</f>
        <v>0</v>
      </c>
      <c r="M3" s="70">
        <f>COUNTIF(M$9:M$21,"=2")</f>
        <v>0</v>
      </c>
      <c r="N3" s="70">
        <f>COUNTIF(N$9:N$21,"=2")</f>
        <v>0</v>
      </c>
      <c r="O3" s="72"/>
      <c r="P3" s="70" t="s">
        <v>19</v>
      </c>
    </row>
    <row r="4" spans="1:18" s="2" customFormat="1" ht="12" thickBot="1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558.6</v>
      </c>
      <c r="L4" s="70">
        <f>COUNTIF(L$9:L$21,"=3")</f>
        <v>4</v>
      </c>
      <c r="M4" s="70">
        <f>COUNTIF(M$9:M$21,"=3")</f>
        <v>0</v>
      </c>
      <c r="N4" s="70">
        <f>COUNTIF(N$9:N$21,"=3")</f>
        <v>0</v>
      </c>
      <c r="O4" s="72"/>
      <c r="P4" s="70" t="s">
        <v>20</v>
      </c>
    </row>
    <row r="5" spans="1:18">
      <c r="G5" s="69" t="s">
        <v>24</v>
      </c>
      <c r="I5" s="3" t="s">
        <v>7</v>
      </c>
    </row>
    <row r="6" spans="1:18" ht="12" thickBot="1">
      <c r="E6" s="9"/>
      <c r="F6" s="9"/>
      <c r="I6" s="3"/>
    </row>
    <row r="7" spans="1:18" ht="12" thickBot="1">
      <c r="B7" s="70" t="s">
        <v>292</v>
      </c>
      <c r="J7" s="22" t="s">
        <v>14</v>
      </c>
      <c r="L7" s="70" t="s">
        <v>18</v>
      </c>
    </row>
    <row r="8" spans="1:18" ht="12" thickBot="1">
      <c r="A8" s="64" t="s">
        <v>11</v>
      </c>
      <c r="B8" s="65" t="s">
        <v>0</v>
      </c>
      <c r="C8" s="66" t="s">
        <v>1</v>
      </c>
      <c r="D8" s="66" t="s">
        <v>2</v>
      </c>
      <c r="E8" s="68">
        <v>43763</v>
      </c>
      <c r="F8" s="68">
        <v>43770</v>
      </c>
      <c r="G8" s="68">
        <v>43777</v>
      </c>
      <c r="H8" s="68">
        <f>G8+7</f>
        <v>43784</v>
      </c>
      <c r="I8" s="14" t="s">
        <v>13</v>
      </c>
      <c r="J8" s="23">
        <f>H8</f>
        <v>43784</v>
      </c>
      <c r="L8" s="70">
        <v>4</v>
      </c>
      <c r="M8" s="70">
        <v>10</v>
      </c>
      <c r="N8" s="70">
        <v>1</v>
      </c>
      <c r="O8" s="72" t="s">
        <v>22</v>
      </c>
    </row>
    <row r="9" spans="1:18" ht="13.5">
      <c r="A9" s="32">
        <v>1</v>
      </c>
      <c r="B9" s="84">
        <v>18350</v>
      </c>
      <c r="C9" s="82" t="s">
        <v>293</v>
      </c>
      <c r="D9" s="83" t="s">
        <v>294</v>
      </c>
      <c r="E9" s="55">
        <v>0.97296206618240522</v>
      </c>
      <c r="F9" s="55">
        <v>0.97406116918312047</v>
      </c>
      <c r="G9" s="52">
        <v>0.97487814023247099</v>
      </c>
      <c r="H9" s="52">
        <v>0.97582972582972582</v>
      </c>
      <c r="I9" s="49" t="str">
        <f>IF(G9&lt;H9,$I$3,IF(G9=H9,$I$4,$I$5))</f>
        <v>↑</v>
      </c>
      <c r="J9" s="25">
        <v>13.8</v>
      </c>
      <c r="L9" s="74">
        <v>3</v>
      </c>
      <c r="M9" s="74"/>
      <c r="N9" s="74"/>
      <c r="R9" s="81" t="str">
        <f t="shared" ref="R9:R12" si="0">IF(L9=3,"3年コース","2年コース")</f>
        <v>3年コース</v>
      </c>
    </row>
    <row r="10" spans="1:18" ht="13.5">
      <c r="A10" s="18">
        <f>A9+1</f>
        <v>2</v>
      </c>
      <c r="B10" s="84">
        <v>18359</v>
      </c>
      <c r="C10" s="82" t="s">
        <v>159</v>
      </c>
      <c r="D10" s="83" t="s">
        <v>295</v>
      </c>
      <c r="E10" s="46">
        <v>0.97457627118644063</v>
      </c>
      <c r="F10" s="46">
        <v>0.97560975609756095</v>
      </c>
      <c r="G10" s="47">
        <v>0.97637795275590544</v>
      </c>
      <c r="H10" s="47">
        <v>0.97727272727272718</v>
      </c>
      <c r="I10" s="61" t="str">
        <f>IF(G10&lt;H10,$I$3,IF(G10=H10,$I$4,$I$5))</f>
        <v>↑</v>
      </c>
      <c r="J10" s="26">
        <v>12.6</v>
      </c>
      <c r="L10" s="75">
        <v>3</v>
      </c>
      <c r="M10" s="75"/>
      <c r="N10" s="75"/>
      <c r="R10" s="81" t="str">
        <f t="shared" si="0"/>
        <v>3年コース</v>
      </c>
    </row>
    <row r="11" spans="1:18" ht="13.5">
      <c r="A11" s="18">
        <f t="shared" ref="A11:A12" si="1">A10+1</f>
        <v>3</v>
      </c>
      <c r="B11" s="84">
        <v>18628</v>
      </c>
      <c r="C11" s="82" t="s">
        <v>296</v>
      </c>
      <c r="D11" s="83" t="s">
        <v>297</v>
      </c>
      <c r="E11" s="46">
        <v>1</v>
      </c>
      <c r="F11" s="46">
        <v>1</v>
      </c>
      <c r="G11" s="47">
        <v>1</v>
      </c>
      <c r="H11" s="47">
        <v>1</v>
      </c>
      <c r="I11" s="61" t="str">
        <f>IF(G11&lt;H11,$I$3,IF(G11=H11,$I$4,$I$5))</f>
        <v>　→</v>
      </c>
      <c r="J11" s="26">
        <f>IF(B11="","",VLOOKUP(B11,出席状況!$A$1:$D$136,3,FALSE))</f>
        <v>0</v>
      </c>
      <c r="L11" s="75">
        <v>3</v>
      </c>
      <c r="M11" s="75"/>
      <c r="N11" s="75"/>
      <c r="R11" s="81" t="str">
        <f t="shared" si="0"/>
        <v>3年コース</v>
      </c>
    </row>
    <row r="12" spans="1:18" ht="13.5">
      <c r="A12" s="18">
        <f t="shared" si="1"/>
        <v>4</v>
      </c>
      <c r="B12" s="84">
        <v>18631</v>
      </c>
      <c r="C12" s="82" t="s">
        <v>298</v>
      </c>
      <c r="D12" s="83" t="s">
        <v>299</v>
      </c>
      <c r="E12" s="46">
        <v>0.98305084745762716</v>
      </c>
      <c r="F12" s="46">
        <v>0.98373983739837401</v>
      </c>
      <c r="G12" s="47">
        <v>0.98425196850393704</v>
      </c>
      <c r="H12" s="47">
        <v>0.98484848484848486</v>
      </c>
      <c r="I12" s="61" t="str">
        <f>IF(G12&lt;H12,$I$3,IF(G12=H12,$I$4,$I$5))</f>
        <v>↑</v>
      </c>
      <c r="J12" s="26">
        <v>8.4</v>
      </c>
      <c r="L12" s="75">
        <v>3</v>
      </c>
      <c r="M12" s="75"/>
      <c r="N12" s="75"/>
      <c r="R12" s="81" t="str">
        <f t="shared" si="0"/>
        <v>3年コース</v>
      </c>
    </row>
    <row r="13" spans="1:18">
      <c r="A13" s="18"/>
      <c r="B13" s="35"/>
      <c r="C13" s="40"/>
      <c r="D13" s="40"/>
      <c r="E13" s="46"/>
      <c r="F13" s="46"/>
      <c r="G13" s="46"/>
      <c r="H13" s="47"/>
      <c r="I13" s="61" t="str">
        <f t="shared" ref="I13:I22" si="2">IF(G13&lt;H13,$I$3,IF(G13=H13,$I$4,$I$5))</f>
        <v>　→</v>
      </c>
      <c r="J13" s="26" t="str">
        <f>IF(B13="","",VLOOKUP(B13,出席状況!$A$1:$D$136,3,FALSE))</f>
        <v/>
      </c>
      <c r="L13" s="75"/>
      <c r="M13" s="75"/>
      <c r="N13" s="75"/>
      <c r="R13" s="80"/>
    </row>
    <row r="14" spans="1:18">
      <c r="A14" s="18"/>
      <c r="B14" s="35"/>
      <c r="C14" s="40"/>
      <c r="D14" s="40"/>
      <c r="E14" s="46"/>
      <c r="F14" s="46"/>
      <c r="G14" s="46"/>
      <c r="H14" s="47"/>
      <c r="I14" s="61" t="str">
        <f t="shared" si="2"/>
        <v>　→</v>
      </c>
      <c r="J14" s="26" t="str">
        <f>IF(B14="","",VLOOKUP(B14,出席状況!$A$1:$D$136,3,FALSE))</f>
        <v/>
      </c>
      <c r="L14" s="75"/>
      <c r="M14" s="75"/>
      <c r="N14" s="75"/>
      <c r="R14" s="80"/>
    </row>
    <row r="15" spans="1:18">
      <c r="A15" s="18"/>
      <c r="B15" s="35"/>
      <c r="C15" s="40"/>
      <c r="D15" s="40"/>
      <c r="E15" s="46"/>
      <c r="F15" s="46"/>
      <c r="G15" s="46"/>
      <c r="H15" s="47"/>
      <c r="I15" s="61" t="str">
        <f t="shared" si="2"/>
        <v>　→</v>
      </c>
      <c r="J15" s="26" t="str">
        <f>IF(B15="","",VLOOKUP(B15,出席状況!$A$1:$D$136,3,FALSE))</f>
        <v/>
      </c>
      <c r="L15" s="75"/>
      <c r="M15" s="75"/>
      <c r="N15" s="75"/>
      <c r="R15" s="80"/>
    </row>
    <row r="16" spans="1:18">
      <c r="A16" s="19"/>
      <c r="B16" s="36"/>
      <c r="C16" s="41"/>
      <c r="D16" s="41"/>
      <c r="E16" s="56"/>
      <c r="F16" s="56"/>
      <c r="G16" s="56"/>
      <c r="H16" s="53"/>
      <c r="I16" s="62" t="str">
        <f t="shared" si="2"/>
        <v>　→</v>
      </c>
      <c r="J16" s="27" t="str">
        <f>IF(B16="","",VLOOKUP(B16,出席状況!$A$1:$D$136,3,FALSE))</f>
        <v/>
      </c>
      <c r="L16" s="76"/>
      <c r="M16" s="76"/>
      <c r="N16" s="76"/>
      <c r="R16" s="81"/>
    </row>
    <row r="17" spans="1:16">
      <c r="A17" s="20"/>
      <c r="B17" s="37"/>
      <c r="C17" s="42"/>
      <c r="D17" s="42"/>
      <c r="E17" s="57"/>
      <c r="F17" s="57"/>
      <c r="G17" s="57"/>
      <c r="H17" s="54"/>
      <c r="I17" s="51" t="str">
        <f t="shared" si="2"/>
        <v>　→</v>
      </c>
      <c r="J17" s="28" t="str">
        <f>IF(B17="","",VLOOKUP(B17,出席状況!$A$1:$D$136,3,FALSE))</f>
        <v/>
      </c>
      <c r="L17" s="74"/>
      <c r="M17" s="74"/>
      <c r="N17" s="74"/>
    </row>
    <row r="18" spans="1:16">
      <c r="A18" s="18"/>
      <c r="B18" s="35"/>
      <c r="C18" s="40"/>
      <c r="D18" s="40"/>
      <c r="E18" s="46"/>
      <c r="F18" s="46"/>
      <c r="G18" s="46"/>
      <c r="H18" s="47"/>
      <c r="I18" s="61" t="str">
        <f t="shared" si="2"/>
        <v>　→</v>
      </c>
      <c r="J18" s="26" t="str">
        <f>IF(B18="","",VLOOKUP(B18,出席状況!$A$1:$D$136,3,FALSE))</f>
        <v/>
      </c>
      <c r="L18" s="75"/>
      <c r="M18" s="75"/>
      <c r="N18" s="75"/>
    </row>
    <row r="19" spans="1:16">
      <c r="A19" s="18"/>
      <c r="B19" s="35"/>
      <c r="C19" s="40"/>
      <c r="D19" s="40"/>
      <c r="E19" s="46"/>
      <c r="F19" s="46"/>
      <c r="G19" s="46"/>
      <c r="H19" s="47"/>
      <c r="I19" s="61" t="str">
        <f t="shared" si="2"/>
        <v>　→</v>
      </c>
      <c r="J19" s="26" t="str">
        <f>IF(B19="","",VLOOKUP(B19,出席状況!$A$1:$D$136,3,FALSE))</f>
        <v/>
      </c>
      <c r="L19" s="75"/>
      <c r="M19" s="75"/>
      <c r="N19" s="75"/>
    </row>
    <row r="20" spans="1:16">
      <c r="A20" s="18"/>
      <c r="B20" s="35"/>
      <c r="C20" s="40"/>
      <c r="D20" s="40"/>
      <c r="E20" s="46"/>
      <c r="F20" s="46"/>
      <c r="G20" s="46"/>
      <c r="H20" s="47"/>
      <c r="I20" s="61" t="str">
        <f t="shared" si="2"/>
        <v>　→</v>
      </c>
      <c r="J20" s="26" t="str">
        <f>IF(B20="","",VLOOKUP(B20,出席状況!$A$1:$D$136,3,FALSE))</f>
        <v/>
      </c>
      <c r="L20" s="75"/>
      <c r="M20" s="75"/>
      <c r="N20" s="75"/>
    </row>
    <row r="21" spans="1:16" ht="12" thickBot="1">
      <c r="A21" s="77"/>
      <c r="B21" s="38"/>
      <c r="C21" s="43"/>
      <c r="D21" s="43"/>
      <c r="E21" s="58"/>
      <c r="F21" s="58"/>
      <c r="G21" s="58"/>
      <c r="H21" s="59"/>
      <c r="I21" s="63" t="str">
        <f t="shared" si="2"/>
        <v>　→</v>
      </c>
      <c r="J21" s="29" t="str">
        <f>IF(B21="","",VLOOKUP(B21,出席状況!$A$1:$D$136,3,FALSE))</f>
        <v/>
      </c>
      <c r="L21" s="76"/>
      <c r="M21" s="76"/>
      <c r="N21" s="76"/>
    </row>
    <row r="22" spans="1:16" ht="12" thickBot="1">
      <c r="D22" s="45" t="s">
        <v>12</v>
      </c>
      <c r="E22" s="33">
        <f>AVERAGE(E9:E21)</f>
        <v>0.98264729620661828</v>
      </c>
      <c r="F22" s="33">
        <f>AVERAGE(F9:F21)</f>
        <v>0.98335269066976394</v>
      </c>
      <c r="G22" s="33">
        <f>AVERAGE(G9:G21)</f>
        <v>0.98387701537307837</v>
      </c>
      <c r="H22" s="33">
        <f>AVERAGE(H9:H21)</f>
        <v>0.98448773448773441</v>
      </c>
      <c r="I22" s="13" t="str">
        <f t="shared" si="2"/>
        <v>↑</v>
      </c>
    </row>
    <row r="23" spans="1:16">
      <c r="E23" s="6"/>
      <c r="F23" s="6"/>
      <c r="G23" s="6"/>
      <c r="H23" s="6"/>
    </row>
    <row r="24" spans="1:16">
      <c r="P24" s="70" t="s">
        <v>19</v>
      </c>
    </row>
    <row r="25" spans="1:16">
      <c r="L25" s="70">
        <f>COUNT(L9:L12)</f>
        <v>4</v>
      </c>
      <c r="P25" s="70" t="s">
        <v>20</v>
      </c>
    </row>
    <row r="26" spans="1:16">
      <c r="E26" s="48"/>
      <c r="P26" s="70" t="s">
        <v>21</v>
      </c>
    </row>
  </sheetData>
  <mergeCells count="2">
    <mergeCell ref="C1:F1"/>
    <mergeCell ref="C3:C4"/>
  </mergeCells>
  <phoneticPr fontId="3"/>
  <conditionalFormatting sqref="I17:I21 I10:I13">
    <cfRule type="expression" dxfId="135" priority="462">
      <formula>G10&gt;H10</formula>
    </cfRule>
  </conditionalFormatting>
  <conditionalFormatting sqref="I22">
    <cfRule type="expression" dxfId="134" priority="460">
      <formula>G22&gt;H22</formula>
    </cfRule>
  </conditionalFormatting>
  <conditionalFormatting sqref="E13:H16">
    <cfRule type="expression" dxfId="133" priority="456">
      <formula>AND(0.75&lt;=E13,E13&lt;0.8)</formula>
    </cfRule>
    <cfRule type="expression" dxfId="132" priority="457">
      <formula>AND(0.65 &lt;= E13,E13&lt;0.75)</formula>
    </cfRule>
    <cfRule type="expression" dxfId="131" priority="458">
      <formula>E13 &lt; 0.65</formula>
    </cfRule>
  </conditionalFormatting>
  <conditionalFormatting sqref="I9">
    <cfRule type="expression" dxfId="130" priority="439">
      <formula>G9&gt;H9</formula>
    </cfRule>
  </conditionalFormatting>
  <conditionalFormatting sqref="E22">
    <cfRule type="expression" dxfId="129" priority="413">
      <formula>AND(0.75&lt;=E22,E22&lt;0.8)</formula>
    </cfRule>
    <cfRule type="expression" dxfId="128" priority="414">
      <formula>AND(0.65 &lt;= E22,E22&lt;0.75)</formula>
    </cfRule>
    <cfRule type="expression" dxfId="127" priority="415">
      <formula>E22 &lt; 0.65</formula>
    </cfRule>
  </conditionalFormatting>
  <conditionalFormatting sqref="E22">
    <cfRule type="expression" dxfId="126" priority="410">
      <formula>AND(0.75&lt;=E22,E22&lt;0.8)</formula>
    </cfRule>
    <cfRule type="expression" dxfId="125" priority="411">
      <formula>AND(0.65 &lt;= E22,E22&lt;0.75)</formula>
    </cfRule>
    <cfRule type="expression" dxfId="124" priority="412">
      <formula>E22 &lt; 0.65</formula>
    </cfRule>
  </conditionalFormatting>
  <conditionalFormatting sqref="E22">
    <cfRule type="expression" dxfId="123" priority="407">
      <formula>AND(0.75&lt;=E22,E22&lt;0.8)</formula>
    </cfRule>
    <cfRule type="expression" dxfId="122" priority="408">
      <formula>AND(0.65 &lt;= E22,E22&lt;0.75)</formula>
    </cfRule>
    <cfRule type="expression" dxfId="121" priority="409">
      <formula>E22 &lt; 0.65</formula>
    </cfRule>
  </conditionalFormatting>
  <conditionalFormatting sqref="E22">
    <cfRule type="expression" dxfId="120" priority="404">
      <formula>AND(0.75&lt;=E22,E22&lt;0.8)</formula>
    </cfRule>
    <cfRule type="expression" dxfId="119" priority="405">
      <formula>AND(0.65 &lt;= E22,E22&lt;0.75)</formula>
    </cfRule>
    <cfRule type="expression" dxfId="118" priority="406">
      <formula>E22 &lt; 0.65</formula>
    </cfRule>
  </conditionalFormatting>
  <conditionalFormatting sqref="E22">
    <cfRule type="expression" dxfId="117" priority="401">
      <formula>AND(0.75&lt;=E22,E22&lt;0.8)</formula>
    </cfRule>
    <cfRule type="expression" dxfId="116" priority="402">
      <formula>AND(0.65 &lt;= E22,E22&lt;0.75)</formula>
    </cfRule>
    <cfRule type="expression" dxfId="115" priority="403">
      <formula>E22 &lt; 0.65</formula>
    </cfRule>
  </conditionalFormatting>
  <conditionalFormatting sqref="E22">
    <cfRule type="expression" dxfId="114" priority="398">
      <formula>AND(0.75&lt;=E22,E22&lt;0.8)</formula>
    </cfRule>
    <cfRule type="expression" dxfId="113" priority="399">
      <formula>AND(0.65 &lt;= E22,E22&lt;0.75)</formula>
    </cfRule>
    <cfRule type="expression" dxfId="112" priority="400">
      <formula>E22 &lt; 0.65</formula>
    </cfRule>
  </conditionalFormatting>
  <conditionalFormatting sqref="F22:H22">
    <cfRule type="expression" dxfId="111" priority="395">
      <formula>AND(0.75&lt;=F22,F22&lt;0.8)</formula>
    </cfRule>
    <cfRule type="expression" dxfId="110" priority="396">
      <formula>AND(0.65 &lt;= F22,F22&lt;0.75)</formula>
    </cfRule>
    <cfRule type="expression" dxfId="109" priority="397">
      <formula>F22 &lt; 0.65</formula>
    </cfRule>
  </conditionalFormatting>
  <conditionalFormatting sqref="F22:H22">
    <cfRule type="expression" dxfId="108" priority="392">
      <formula>AND(0.75&lt;=F22,F22&lt;0.8)</formula>
    </cfRule>
    <cfRule type="expression" dxfId="107" priority="393">
      <formula>AND(0.65 &lt;= F22,F22&lt;0.75)</formula>
    </cfRule>
    <cfRule type="expression" dxfId="106" priority="394">
      <formula>F22 &lt; 0.65</formula>
    </cfRule>
  </conditionalFormatting>
  <conditionalFormatting sqref="F22:H22">
    <cfRule type="expression" dxfId="105" priority="389">
      <formula>AND(0.75&lt;=F22,F22&lt;0.8)</formula>
    </cfRule>
    <cfRule type="expression" dxfId="104" priority="390">
      <formula>AND(0.65 &lt;= F22,F22&lt;0.75)</formula>
    </cfRule>
    <cfRule type="expression" dxfId="103" priority="391">
      <formula>F22 &lt; 0.65</formula>
    </cfRule>
  </conditionalFormatting>
  <conditionalFormatting sqref="F22:H22">
    <cfRule type="expression" dxfId="102" priority="386">
      <formula>AND(0.75&lt;=F22,F22&lt;0.8)</formula>
    </cfRule>
    <cfRule type="expression" dxfId="101" priority="387">
      <formula>AND(0.65 &lt;= F22,F22&lt;0.75)</formula>
    </cfRule>
    <cfRule type="expression" dxfId="100" priority="388">
      <formula>F22 &lt; 0.65</formula>
    </cfRule>
  </conditionalFormatting>
  <conditionalFormatting sqref="F22:H22">
    <cfRule type="expression" dxfId="99" priority="383">
      <formula>AND(0.75&lt;=F22,F22&lt;0.8)</formula>
    </cfRule>
    <cfRule type="expression" dxfId="98" priority="384">
      <formula>AND(0.65 &lt;= F22,F22&lt;0.75)</formula>
    </cfRule>
    <cfRule type="expression" dxfId="97" priority="385">
      <formula>F22 &lt; 0.65</formula>
    </cfRule>
  </conditionalFormatting>
  <conditionalFormatting sqref="F22:H22">
    <cfRule type="expression" dxfId="96" priority="380">
      <formula>AND(0.75&lt;=F22,F22&lt;0.8)</formula>
    </cfRule>
    <cfRule type="expression" dxfId="95" priority="381">
      <formula>AND(0.65 &lt;= F22,F22&lt;0.75)</formula>
    </cfRule>
    <cfRule type="expression" dxfId="94" priority="382">
      <formula>F22 &lt; 0.65</formula>
    </cfRule>
  </conditionalFormatting>
  <conditionalFormatting sqref="G10:G12 G17:G21">
    <cfRule type="expression" dxfId="93" priority="359">
      <formula>AND(0.75&lt;=G10,G10&lt;0.8)</formula>
    </cfRule>
    <cfRule type="expression" dxfId="92" priority="360">
      <formula>AND(0.65 &lt;= G10,G10&lt;0.75)</formula>
    </cfRule>
    <cfRule type="expression" dxfId="91" priority="361">
      <formula>G10 &lt; 0.65</formula>
    </cfRule>
  </conditionalFormatting>
  <conditionalFormatting sqref="E13:H16">
    <cfRule type="expression" dxfId="90" priority="355">
      <formula>E13 &lt; 0.85</formula>
    </cfRule>
  </conditionalFormatting>
  <conditionalFormatting sqref="H9">
    <cfRule type="expression" dxfId="89" priority="352">
      <formula>AND(0.75&lt;=H9,H9&lt;0.8)</formula>
    </cfRule>
    <cfRule type="expression" dxfId="88" priority="353">
      <formula>AND(0.65 &lt;= H9,H9&lt;0.75)</formula>
    </cfRule>
    <cfRule type="expression" dxfId="87" priority="354">
      <formula>H9 &lt; 0.65</formula>
    </cfRule>
  </conditionalFormatting>
  <conditionalFormatting sqref="H9">
    <cfRule type="expression" dxfId="86" priority="351">
      <formula>H9 &lt; 0.85</formula>
    </cfRule>
  </conditionalFormatting>
  <conditionalFormatting sqref="H10:H12 H17:H21">
    <cfRule type="expression" dxfId="85" priority="348">
      <formula>AND(0.75&lt;=H10,H10&lt;0.8)</formula>
    </cfRule>
    <cfRule type="expression" dxfId="84" priority="349">
      <formula>AND(0.65 &lt;= H10,H10&lt;0.75)</formula>
    </cfRule>
    <cfRule type="expression" dxfId="83" priority="350">
      <formula>H10 &lt; 0.65</formula>
    </cfRule>
  </conditionalFormatting>
  <conditionalFormatting sqref="H10:H12 H17:H21">
    <cfRule type="expression" dxfId="82" priority="347">
      <formula>H10 &lt; 0.85</formula>
    </cfRule>
  </conditionalFormatting>
  <conditionalFormatting sqref="G9">
    <cfRule type="expression" dxfId="81" priority="344">
      <formula>AND(0.75&lt;=G9,G9&lt;0.8)</formula>
    </cfRule>
    <cfRule type="expression" dxfId="80" priority="345">
      <formula>AND(0.65 &lt;= G9,G9&lt;0.75)</formula>
    </cfRule>
    <cfRule type="expression" dxfId="79" priority="346">
      <formula>G9 &lt; 0.65</formula>
    </cfRule>
  </conditionalFormatting>
  <conditionalFormatting sqref="G9">
    <cfRule type="expression" dxfId="78" priority="343">
      <formula>G9 &lt; 0.85</formula>
    </cfRule>
  </conditionalFormatting>
  <conditionalFormatting sqref="G10:G12 G17:G21">
    <cfRule type="expression" dxfId="77" priority="342">
      <formula>G10 &lt; 0.85</formula>
    </cfRule>
  </conditionalFormatting>
  <conditionalFormatting sqref="F17:F21">
    <cfRule type="expression" dxfId="76" priority="335">
      <formula>AND(0.75&lt;=F17,F17&lt;0.8)</formula>
    </cfRule>
    <cfRule type="expression" dxfId="75" priority="336">
      <formula>AND(0.65 &lt;= F17,F17&lt;0.75)</formula>
    </cfRule>
    <cfRule type="expression" dxfId="74" priority="337">
      <formula>F17 &lt; 0.65</formula>
    </cfRule>
  </conditionalFormatting>
  <conditionalFormatting sqref="F17:F21">
    <cfRule type="expression" dxfId="73" priority="334">
      <formula>F17 &lt; 0.85</formula>
    </cfRule>
  </conditionalFormatting>
  <conditionalFormatting sqref="E17:E21">
    <cfRule type="expression" dxfId="72" priority="331">
      <formula>AND(0.75&lt;=E17,E17&lt;0.8)</formula>
    </cfRule>
    <cfRule type="expression" dxfId="71" priority="332">
      <formula>AND(0.65 &lt;= E17,E17&lt;0.75)</formula>
    </cfRule>
    <cfRule type="expression" dxfId="70" priority="333">
      <formula>E17 &lt; 0.65</formula>
    </cfRule>
  </conditionalFormatting>
  <conditionalFormatting sqref="E17:E21">
    <cfRule type="expression" dxfId="69" priority="330">
      <formula>E17 &lt; 0.85</formula>
    </cfRule>
  </conditionalFormatting>
  <conditionalFormatting sqref="L9">
    <cfRule type="cellIs" dxfId="68" priority="278" operator="equal">
      <formula>2</formula>
    </cfRule>
  </conditionalFormatting>
  <conditionalFormatting sqref="M9:N9">
    <cfRule type="cellIs" dxfId="67" priority="277" operator="equal">
      <formula>2</formula>
    </cfRule>
  </conditionalFormatting>
  <conditionalFormatting sqref="L10">
    <cfRule type="cellIs" dxfId="66" priority="276" operator="equal">
      <formula>2</formula>
    </cfRule>
  </conditionalFormatting>
  <conditionalFormatting sqref="M10:N10">
    <cfRule type="cellIs" dxfId="65" priority="275" operator="equal">
      <formula>2</formula>
    </cfRule>
  </conditionalFormatting>
  <conditionalFormatting sqref="L11">
    <cfRule type="cellIs" dxfId="64" priority="274" operator="equal">
      <formula>2</formula>
    </cfRule>
  </conditionalFormatting>
  <conditionalFormatting sqref="M11:N11">
    <cfRule type="cellIs" dxfId="63" priority="273" operator="equal">
      <formula>2</formula>
    </cfRule>
  </conditionalFormatting>
  <conditionalFormatting sqref="L12">
    <cfRule type="cellIs" dxfId="62" priority="272" operator="equal">
      <formula>2</formula>
    </cfRule>
  </conditionalFormatting>
  <conditionalFormatting sqref="M12:N12">
    <cfRule type="cellIs" dxfId="61" priority="271" operator="equal">
      <formula>2</formula>
    </cfRule>
  </conditionalFormatting>
  <conditionalFormatting sqref="L17">
    <cfRule type="cellIs" dxfId="60" priority="218" operator="equal">
      <formula>2</formula>
    </cfRule>
  </conditionalFormatting>
  <conditionalFormatting sqref="M17:N17">
    <cfRule type="cellIs" dxfId="59" priority="217" operator="equal">
      <formula>2</formula>
    </cfRule>
  </conditionalFormatting>
  <conditionalFormatting sqref="L18">
    <cfRule type="cellIs" dxfId="58" priority="216" operator="equal">
      <formula>2</formula>
    </cfRule>
  </conditionalFormatting>
  <conditionalFormatting sqref="M18:N18">
    <cfRule type="cellIs" dxfId="57" priority="215" operator="equal">
      <formula>2</formula>
    </cfRule>
  </conditionalFormatting>
  <conditionalFormatting sqref="L19">
    <cfRule type="cellIs" dxfId="56" priority="214" operator="equal">
      <formula>2</formula>
    </cfRule>
  </conditionalFormatting>
  <conditionalFormatting sqref="M19:N19">
    <cfRule type="cellIs" dxfId="55" priority="213" operator="equal">
      <formula>2</formula>
    </cfRule>
  </conditionalFormatting>
  <conditionalFormatting sqref="L20">
    <cfRule type="cellIs" dxfId="54" priority="212" operator="equal">
      <formula>2</formula>
    </cfRule>
  </conditionalFormatting>
  <conditionalFormatting sqref="M20:N20">
    <cfRule type="cellIs" dxfId="53" priority="211" operator="equal">
      <formula>2</formula>
    </cfRule>
  </conditionalFormatting>
  <conditionalFormatting sqref="L21">
    <cfRule type="cellIs" dxfId="52" priority="210" operator="equal">
      <formula>2</formula>
    </cfRule>
  </conditionalFormatting>
  <conditionalFormatting sqref="M21:N21">
    <cfRule type="cellIs" dxfId="51" priority="209" operator="equal">
      <formula>2</formula>
    </cfRule>
  </conditionalFormatting>
  <conditionalFormatting sqref="I15">
    <cfRule type="expression" dxfId="50" priority="128">
      <formula>G15&gt;H15</formula>
    </cfRule>
  </conditionalFormatting>
  <conditionalFormatting sqref="I14">
    <cfRule type="expression" dxfId="49" priority="123">
      <formula>G14&gt;H14</formula>
    </cfRule>
  </conditionalFormatting>
  <conditionalFormatting sqref="I16">
    <cfRule type="expression" dxfId="48" priority="122">
      <formula>G16&gt;H16</formula>
    </cfRule>
  </conditionalFormatting>
  <conditionalFormatting sqref="L13">
    <cfRule type="cellIs" dxfId="47" priority="93" operator="equal">
      <formula>2</formula>
    </cfRule>
  </conditionalFormatting>
  <conditionalFormatting sqref="M13:N13">
    <cfRule type="cellIs" dxfId="46" priority="92" operator="equal">
      <formula>2</formula>
    </cfRule>
  </conditionalFormatting>
  <conditionalFormatting sqref="L14">
    <cfRule type="cellIs" dxfId="45" priority="91" operator="equal">
      <formula>2</formula>
    </cfRule>
  </conditionalFormatting>
  <conditionalFormatting sqref="M14:N14">
    <cfRule type="cellIs" dxfId="44" priority="90" operator="equal">
      <formula>2</formula>
    </cfRule>
  </conditionalFormatting>
  <conditionalFormatting sqref="L15">
    <cfRule type="cellIs" dxfId="43" priority="89" operator="equal">
      <formula>2</formula>
    </cfRule>
  </conditionalFormatting>
  <conditionalFormatting sqref="M15:N15">
    <cfRule type="cellIs" dxfId="42" priority="88" operator="equal">
      <formula>2</formula>
    </cfRule>
  </conditionalFormatting>
  <conditionalFormatting sqref="L16">
    <cfRule type="cellIs" dxfId="41" priority="87" operator="equal">
      <formula>2</formula>
    </cfRule>
  </conditionalFormatting>
  <conditionalFormatting sqref="M16:N16">
    <cfRule type="cellIs" dxfId="40" priority="86" operator="equal">
      <formula>2</formula>
    </cfRule>
  </conditionalFormatting>
  <conditionalFormatting sqref="E10:E12">
    <cfRule type="expression" dxfId="39" priority="38">
      <formula>AND(0.75&lt;=E10,E10&lt;0.8)</formula>
    </cfRule>
    <cfRule type="expression" dxfId="38" priority="39">
      <formula>AND(0.65 &lt;= E10,E10&lt;0.75)</formula>
    </cfRule>
    <cfRule type="expression" dxfId="37" priority="40">
      <formula>E10 &lt; 0.65</formula>
    </cfRule>
  </conditionalFormatting>
  <conditionalFormatting sqref="F9">
    <cfRule type="expression" dxfId="36" priority="35">
      <formula>AND(0.75&lt;=F9,F9&lt;0.8)</formula>
    </cfRule>
    <cfRule type="expression" dxfId="35" priority="36">
      <formula>AND(0.65 &lt;= F9,F9&lt;0.75)</formula>
    </cfRule>
    <cfRule type="expression" dxfId="34" priority="37">
      <formula>F9 &lt; 0.65</formula>
    </cfRule>
  </conditionalFormatting>
  <conditionalFormatting sqref="F9">
    <cfRule type="expression" dxfId="33" priority="34">
      <formula>F9 &lt; 0.85</formula>
    </cfRule>
  </conditionalFormatting>
  <conditionalFormatting sqref="F10:F12">
    <cfRule type="expression" dxfId="32" priority="31">
      <formula>AND(0.75&lt;=F10,F10&lt;0.8)</formula>
    </cfRule>
    <cfRule type="expression" dxfId="31" priority="32">
      <formula>AND(0.65 &lt;= F10,F10&lt;0.75)</formula>
    </cfRule>
    <cfRule type="expression" dxfId="30" priority="33">
      <formula>F10 &lt; 0.65</formula>
    </cfRule>
  </conditionalFormatting>
  <conditionalFormatting sqref="F10:F12">
    <cfRule type="expression" dxfId="29" priority="30">
      <formula>F10 &lt; 0.85</formula>
    </cfRule>
  </conditionalFormatting>
  <conditionalFormatting sqref="E9">
    <cfRule type="expression" dxfId="28" priority="27">
      <formula>AND(0.75&lt;=E9,E9&lt;0.8)</formula>
    </cfRule>
    <cfRule type="expression" dxfId="27" priority="28">
      <formula>AND(0.65 &lt;= E9,E9&lt;0.75)</formula>
    </cfRule>
    <cfRule type="expression" dxfId="26" priority="29">
      <formula>E9 &lt; 0.65</formula>
    </cfRule>
  </conditionalFormatting>
  <conditionalFormatting sqref="E9">
    <cfRule type="expression" dxfId="25" priority="26">
      <formula>E9 &lt; 0.85</formula>
    </cfRule>
  </conditionalFormatting>
  <conditionalFormatting sqref="E10:E12">
    <cfRule type="expression" dxfId="24" priority="25">
      <formula>E10 &lt; 0.85</formula>
    </cfRule>
  </conditionalFormatting>
  <conditionalFormatting sqref="F10:F12">
    <cfRule type="expression" dxfId="23" priority="22">
      <formula>AND(0.75&lt;=F10,F10&lt;0.8)</formula>
    </cfRule>
    <cfRule type="expression" dxfId="22" priority="23">
      <formula>AND(0.65 &lt;= F10,F10&lt;0.75)</formula>
    </cfRule>
    <cfRule type="expression" dxfId="21" priority="24">
      <formula>F10 &lt; 0.65</formula>
    </cfRule>
  </conditionalFormatting>
  <conditionalFormatting sqref="G9">
    <cfRule type="expression" dxfId="20" priority="19">
      <formula>AND(0.75&lt;=G9,G9&lt;0.8)</formula>
    </cfRule>
    <cfRule type="expression" dxfId="19" priority="20">
      <formula>AND(0.65 &lt;= G9,G9&lt;0.75)</formula>
    </cfRule>
    <cfRule type="expression" dxfId="18" priority="21">
      <formula>G9 &lt; 0.65</formula>
    </cfRule>
  </conditionalFormatting>
  <conditionalFormatting sqref="G9">
    <cfRule type="expression" dxfId="17" priority="18">
      <formula>G9 &lt; 0.85</formula>
    </cfRule>
  </conditionalFormatting>
  <conditionalFormatting sqref="G10:G12">
    <cfRule type="expression" dxfId="16" priority="15">
      <formula>AND(0.75&lt;=G10,G10&lt;0.8)</formula>
    </cfRule>
    <cfRule type="expression" dxfId="15" priority="16">
      <formula>AND(0.65 &lt;= G10,G10&lt;0.75)</formula>
    </cfRule>
    <cfRule type="expression" dxfId="14" priority="17">
      <formula>G10 &lt; 0.65</formula>
    </cfRule>
  </conditionalFormatting>
  <conditionalFormatting sqref="G10:G12">
    <cfRule type="expression" dxfId="13" priority="14">
      <formula>G10 &lt; 0.85</formula>
    </cfRule>
  </conditionalFormatting>
  <conditionalFormatting sqref="F9">
    <cfRule type="expression" dxfId="12" priority="11">
      <formula>AND(0.75&lt;=F9,F9&lt;0.8)</formula>
    </cfRule>
    <cfRule type="expression" dxfId="11" priority="12">
      <formula>AND(0.65 &lt;= F9,F9&lt;0.75)</formula>
    </cfRule>
    <cfRule type="expression" dxfId="10" priority="13">
      <formula>F9 &lt; 0.65</formula>
    </cfRule>
  </conditionalFormatting>
  <conditionalFormatting sqref="F9">
    <cfRule type="expression" dxfId="9" priority="10">
      <formula>F9 &lt; 0.85</formula>
    </cfRule>
  </conditionalFormatting>
  <conditionalFormatting sqref="F10:F12">
    <cfRule type="expression" dxfId="8" priority="9">
      <formula>F10 &lt; 0.85</formula>
    </cfRule>
  </conditionalFormatting>
  <conditionalFormatting sqref="E9">
    <cfRule type="expression" dxfId="7" priority="6">
      <formula>AND(0.75&lt;=E9,E9&lt;0.8)</formula>
    </cfRule>
    <cfRule type="expression" dxfId="6" priority="7">
      <formula>AND(0.65 &lt;= E9,E9&lt;0.75)</formula>
    </cfRule>
    <cfRule type="expression" dxfId="5" priority="8">
      <formula>E9 &lt; 0.65</formula>
    </cfRule>
  </conditionalFormatting>
  <conditionalFormatting sqref="E9">
    <cfRule type="expression" dxfId="4" priority="5">
      <formula>E9 &lt; 0.85</formula>
    </cfRule>
  </conditionalFormatting>
  <conditionalFormatting sqref="E10:E12">
    <cfRule type="expression" dxfId="3" priority="2">
      <formula>AND(0.75&lt;=E10,E10&lt;0.8)</formula>
    </cfRule>
    <cfRule type="expression" dxfId="2" priority="3">
      <formula>AND(0.65 &lt;= E10,E10&lt;0.75)</formula>
    </cfRule>
    <cfRule type="expression" dxfId="1" priority="4">
      <formula>E10 &lt; 0.65</formula>
    </cfRule>
  </conditionalFormatting>
  <conditionalFormatting sqref="E10:E12">
    <cfRule type="expression" dxfId="0" priority="1">
      <formula>E10 &lt; 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ignoredErrors>
    <ignoredError sqref="R9:R12" unlockedFormula="1"/>
    <ignoredError sqref="G22 L25 E2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36"/>
  <sheetViews>
    <sheetView workbookViewId="0">
      <selection activeCell="A2" sqref="A2:D131"/>
    </sheetView>
  </sheetViews>
  <sheetFormatPr defaultRowHeight="13.5"/>
  <sheetData>
    <row r="1" spans="1:9">
      <c r="A1" t="s">
        <v>288</v>
      </c>
      <c r="B1" t="s">
        <v>289</v>
      </c>
      <c r="C1" t="s">
        <v>290</v>
      </c>
      <c r="D1" t="s">
        <v>291</v>
      </c>
      <c r="F1" t="s">
        <v>288</v>
      </c>
      <c r="G1" t="s">
        <v>289</v>
      </c>
      <c r="H1" t="s">
        <v>290</v>
      </c>
      <c r="I1" t="s">
        <v>291</v>
      </c>
    </row>
    <row r="2" spans="1:9">
      <c r="A2">
        <v>18302</v>
      </c>
      <c r="B2">
        <v>558.6</v>
      </c>
      <c r="C2">
        <v>71.2</v>
      </c>
      <c r="D2">
        <v>0.87253848907984244</v>
      </c>
    </row>
    <row r="3" spans="1:9">
      <c r="A3">
        <v>18304</v>
      </c>
      <c r="B3">
        <v>558.6</v>
      </c>
      <c r="C3">
        <v>6.2</v>
      </c>
      <c r="D3">
        <v>0.98890082348728958</v>
      </c>
      <c r="F3">
        <v>18302</v>
      </c>
      <c r="G3">
        <v>558.6</v>
      </c>
      <c r="H3">
        <v>71.2</v>
      </c>
      <c r="I3">
        <v>0.87253848907984244</v>
      </c>
    </row>
    <row r="4" spans="1:9">
      <c r="A4">
        <v>18305</v>
      </c>
      <c r="B4">
        <v>558.6</v>
      </c>
      <c r="C4">
        <v>9.1999999999999993</v>
      </c>
      <c r="D4">
        <v>0.98353025420694584</v>
      </c>
      <c r="F4">
        <v>18304</v>
      </c>
      <c r="G4">
        <v>558.6</v>
      </c>
      <c r="H4">
        <v>6.2</v>
      </c>
      <c r="I4">
        <v>0.98890082348728958</v>
      </c>
    </row>
    <row r="5" spans="1:9">
      <c r="A5">
        <v>18306</v>
      </c>
      <c r="B5">
        <v>558.6</v>
      </c>
      <c r="C5">
        <v>0</v>
      </c>
      <c r="D5">
        <v>1</v>
      </c>
      <c r="F5">
        <v>18305</v>
      </c>
      <c r="G5">
        <v>558.6</v>
      </c>
      <c r="H5">
        <v>9.1999999999999993</v>
      </c>
      <c r="I5">
        <v>0.98353025420694584</v>
      </c>
    </row>
    <row r="6" spans="1:9">
      <c r="A6">
        <v>18307</v>
      </c>
      <c r="B6">
        <v>558.6</v>
      </c>
      <c r="C6">
        <v>16.8</v>
      </c>
      <c r="D6">
        <v>0.9699248120300753</v>
      </c>
      <c r="F6">
        <v>18306</v>
      </c>
      <c r="G6">
        <v>558.6</v>
      </c>
      <c r="H6">
        <v>0</v>
      </c>
      <c r="I6">
        <v>1</v>
      </c>
    </row>
    <row r="7" spans="1:9">
      <c r="A7">
        <v>18308</v>
      </c>
      <c r="B7">
        <v>558.6</v>
      </c>
      <c r="C7">
        <v>12.600000000000001</v>
      </c>
      <c r="D7">
        <v>0.97744360902255634</v>
      </c>
      <c r="F7">
        <v>18307</v>
      </c>
      <c r="G7">
        <v>558.6</v>
      </c>
      <c r="H7">
        <v>16.8</v>
      </c>
      <c r="I7">
        <v>0.9699248120300753</v>
      </c>
    </row>
    <row r="8" spans="1:9">
      <c r="A8">
        <v>18309</v>
      </c>
      <c r="B8">
        <v>558.6</v>
      </c>
      <c r="C8">
        <v>0</v>
      </c>
      <c r="D8">
        <v>1</v>
      </c>
      <c r="F8">
        <v>18308</v>
      </c>
      <c r="G8">
        <v>558.6</v>
      </c>
      <c r="H8">
        <v>12.600000000000001</v>
      </c>
      <c r="I8">
        <v>0.97744360902255634</v>
      </c>
    </row>
    <row r="9" spans="1:9">
      <c r="A9">
        <v>18310</v>
      </c>
      <c r="B9">
        <v>558.6</v>
      </c>
      <c r="C9">
        <v>0</v>
      </c>
      <c r="D9">
        <v>1</v>
      </c>
      <c r="F9">
        <v>18309</v>
      </c>
      <c r="G9">
        <v>558.6</v>
      </c>
      <c r="H9">
        <v>0</v>
      </c>
      <c r="I9">
        <v>1</v>
      </c>
    </row>
    <row r="10" spans="1:9">
      <c r="A10">
        <v>18311</v>
      </c>
      <c r="B10">
        <v>558.6</v>
      </c>
      <c r="C10">
        <v>4.2</v>
      </c>
      <c r="D10">
        <v>0.99248120300751874</v>
      </c>
      <c r="F10">
        <v>18310</v>
      </c>
      <c r="G10">
        <v>558.6</v>
      </c>
      <c r="H10">
        <v>0</v>
      </c>
      <c r="I10">
        <v>1</v>
      </c>
    </row>
    <row r="11" spans="1:9">
      <c r="A11">
        <v>18312</v>
      </c>
      <c r="B11">
        <v>558.6</v>
      </c>
      <c r="C11">
        <v>49.2</v>
      </c>
      <c r="D11">
        <v>0.91192266380236309</v>
      </c>
      <c r="F11">
        <v>18311</v>
      </c>
      <c r="G11">
        <v>558.6</v>
      </c>
      <c r="H11">
        <v>4.2</v>
      </c>
      <c r="I11">
        <v>0.99248120300751874</v>
      </c>
    </row>
    <row r="12" spans="1:9">
      <c r="A12">
        <v>18313</v>
      </c>
      <c r="B12">
        <v>558.6</v>
      </c>
      <c r="C12">
        <v>78.600000000000009</v>
      </c>
      <c r="D12">
        <v>0.85929108485499461</v>
      </c>
      <c r="F12">
        <v>18312</v>
      </c>
      <c r="G12">
        <v>558.6</v>
      </c>
      <c r="H12">
        <v>49.2</v>
      </c>
      <c r="I12">
        <v>0.91192266380236309</v>
      </c>
    </row>
    <row r="13" spans="1:9">
      <c r="A13">
        <v>18314</v>
      </c>
      <c r="B13">
        <v>558.6</v>
      </c>
      <c r="C13">
        <v>4.2</v>
      </c>
      <c r="D13">
        <v>0.99248120300751874</v>
      </c>
      <c r="F13">
        <v>18313</v>
      </c>
      <c r="G13">
        <v>558.6</v>
      </c>
      <c r="H13">
        <v>78.600000000000009</v>
      </c>
      <c r="I13">
        <v>0.85929108485499461</v>
      </c>
    </row>
    <row r="14" spans="1:9">
      <c r="A14">
        <v>18315</v>
      </c>
      <c r="B14">
        <v>558.6</v>
      </c>
      <c r="C14">
        <v>35.6</v>
      </c>
      <c r="D14">
        <v>0.93626924453992122</v>
      </c>
      <c r="F14">
        <v>18314</v>
      </c>
      <c r="G14">
        <v>558.6</v>
      </c>
      <c r="H14">
        <v>4.2</v>
      </c>
      <c r="I14">
        <v>0.99248120300751874</v>
      </c>
    </row>
    <row r="15" spans="1:9">
      <c r="A15">
        <v>18316</v>
      </c>
      <c r="B15">
        <v>558.6</v>
      </c>
      <c r="C15">
        <v>47.20000000000001</v>
      </c>
      <c r="D15">
        <v>0.91550304332259225</v>
      </c>
      <c r="F15">
        <v>18315</v>
      </c>
      <c r="G15">
        <v>558.6</v>
      </c>
      <c r="H15">
        <v>35.6</v>
      </c>
      <c r="I15">
        <v>0.93626924453992122</v>
      </c>
    </row>
    <row r="16" spans="1:9">
      <c r="A16">
        <v>18317</v>
      </c>
      <c r="B16">
        <v>558.6</v>
      </c>
      <c r="C16">
        <v>55.2</v>
      </c>
      <c r="D16">
        <v>0.90118152524167561</v>
      </c>
      <c r="F16">
        <v>18316</v>
      </c>
      <c r="G16">
        <v>558.6</v>
      </c>
      <c r="H16">
        <v>47.20000000000001</v>
      </c>
      <c r="I16">
        <v>0.91550304332259225</v>
      </c>
    </row>
    <row r="17" spans="1:9">
      <c r="A17">
        <v>18318</v>
      </c>
      <c r="B17">
        <v>558.6</v>
      </c>
      <c r="C17">
        <v>58.800000000000004</v>
      </c>
      <c r="D17">
        <v>0.89473684210526316</v>
      </c>
      <c r="F17">
        <v>18317</v>
      </c>
      <c r="G17">
        <v>558.6</v>
      </c>
      <c r="H17">
        <v>55.2</v>
      </c>
      <c r="I17">
        <v>0.90118152524167561</v>
      </c>
    </row>
    <row r="18" spans="1:9">
      <c r="A18">
        <v>18319</v>
      </c>
      <c r="B18">
        <v>558.6</v>
      </c>
      <c r="C18">
        <v>135.19999999999999</v>
      </c>
      <c r="D18">
        <v>0.75796634443250988</v>
      </c>
      <c r="F18">
        <v>18318</v>
      </c>
      <c r="G18">
        <v>558.6</v>
      </c>
      <c r="H18">
        <v>58.800000000000004</v>
      </c>
      <c r="I18">
        <v>0.89473684210526316</v>
      </c>
    </row>
    <row r="19" spans="1:9">
      <c r="A19">
        <v>18320</v>
      </c>
      <c r="B19">
        <v>558.6</v>
      </c>
      <c r="C19">
        <v>81.40000000000002</v>
      </c>
      <c r="D19">
        <v>0.85427855352667381</v>
      </c>
      <c r="F19">
        <v>18319</v>
      </c>
      <c r="G19">
        <v>558.6</v>
      </c>
      <c r="H19">
        <v>135.19999999999999</v>
      </c>
      <c r="I19">
        <v>0.75796634443250988</v>
      </c>
    </row>
    <row r="20" spans="1:9">
      <c r="A20">
        <v>18321</v>
      </c>
      <c r="B20">
        <v>558.6</v>
      </c>
      <c r="C20">
        <v>54.6</v>
      </c>
      <c r="D20">
        <v>0.90225563909774431</v>
      </c>
      <c r="F20">
        <v>18320</v>
      </c>
      <c r="G20">
        <v>558.6</v>
      </c>
      <c r="H20">
        <v>81.40000000000002</v>
      </c>
      <c r="I20">
        <v>0.85427855352667381</v>
      </c>
    </row>
    <row r="21" spans="1:9">
      <c r="A21">
        <v>18322</v>
      </c>
      <c r="B21">
        <v>558.6</v>
      </c>
      <c r="C21">
        <v>34.4</v>
      </c>
      <c r="D21">
        <v>0.93841747225205874</v>
      </c>
      <c r="F21">
        <v>18321</v>
      </c>
      <c r="G21">
        <v>558.6</v>
      </c>
      <c r="H21">
        <v>54.6</v>
      </c>
      <c r="I21">
        <v>0.90225563909774431</v>
      </c>
    </row>
    <row r="22" spans="1:9">
      <c r="A22">
        <v>18323</v>
      </c>
      <c r="B22">
        <v>558.6</v>
      </c>
      <c r="C22">
        <v>16.600000000000001</v>
      </c>
      <c r="D22">
        <v>0.97028284998209802</v>
      </c>
      <c r="F22">
        <v>18322</v>
      </c>
      <c r="G22">
        <v>558.6</v>
      </c>
      <c r="H22">
        <v>34.4</v>
      </c>
      <c r="I22">
        <v>0.93841747225205874</v>
      </c>
    </row>
    <row r="23" spans="1:9">
      <c r="A23">
        <v>18324</v>
      </c>
      <c r="B23">
        <v>558.6</v>
      </c>
      <c r="C23">
        <v>4.2</v>
      </c>
      <c r="D23">
        <v>0.99248120300751874</v>
      </c>
      <c r="F23">
        <v>18323</v>
      </c>
      <c r="G23">
        <v>558.6</v>
      </c>
      <c r="H23">
        <v>16.600000000000001</v>
      </c>
      <c r="I23">
        <v>0.97028284998209802</v>
      </c>
    </row>
    <row r="24" spans="1:9">
      <c r="A24">
        <v>18325</v>
      </c>
      <c r="B24">
        <v>558.6</v>
      </c>
      <c r="C24">
        <v>60.8</v>
      </c>
      <c r="D24">
        <v>0.891156462585034</v>
      </c>
      <c r="F24">
        <v>18324</v>
      </c>
      <c r="G24">
        <v>558.6</v>
      </c>
      <c r="H24">
        <v>4.2</v>
      </c>
      <c r="I24">
        <v>0.99248120300751874</v>
      </c>
    </row>
    <row r="25" spans="1:9">
      <c r="A25">
        <v>18330</v>
      </c>
      <c r="B25">
        <v>558.6</v>
      </c>
      <c r="C25">
        <v>33.6</v>
      </c>
      <c r="D25">
        <v>0.93984962406015038</v>
      </c>
      <c r="F25">
        <v>18325</v>
      </c>
      <c r="G25">
        <v>558.6</v>
      </c>
      <c r="H25">
        <v>60.8</v>
      </c>
      <c r="I25">
        <v>0.891156462585034</v>
      </c>
    </row>
    <row r="26" spans="1:9">
      <c r="A26">
        <v>18332</v>
      </c>
      <c r="B26">
        <v>558.6</v>
      </c>
      <c r="C26">
        <v>114.4</v>
      </c>
      <c r="D26">
        <v>0.79520229144289301</v>
      </c>
      <c r="F26">
        <v>18330</v>
      </c>
      <c r="G26">
        <v>558.6</v>
      </c>
      <c r="H26">
        <v>33.6</v>
      </c>
      <c r="I26">
        <v>0.93984962406015038</v>
      </c>
    </row>
    <row r="27" spans="1:9">
      <c r="A27">
        <v>18333</v>
      </c>
      <c r="B27">
        <v>558.6</v>
      </c>
      <c r="C27">
        <v>117.60000000000001</v>
      </c>
      <c r="D27">
        <v>0.78947368421052633</v>
      </c>
      <c r="F27">
        <v>18332</v>
      </c>
      <c r="G27">
        <v>558.6</v>
      </c>
      <c r="H27">
        <v>114.4</v>
      </c>
      <c r="I27">
        <v>0.79520229144289301</v>
      </c>
    </row>
    <row r="28" spans="1:9">
      <c r="A28">
        <v>18334</v>
      </c>
      <c r="B28">
        <v>558.6</v>
      </c>
      <c r="C28">
        <v>88.600000000000009</v>
      </c>
      <c r="D28">
        <v>0.84138918725384892</v>
      </c>
      <c r="F28">
        <v>18333</v>
      </c>
      <c r="G28">
        <v>558.6</v>
      </c>
      <c r="H28">
        <v>117.60000000000001</v>
      </c>
      <c r="I28">
        <v>0.78947368421052633</v>
      </c>
    </row>
    <row r="29" spans="1:9">
      <c r="A29">
        <v>18335</v>
      </c>
      <c r="B29">
        <v>558.6</v>
      </c>
      <c r="C29">
        <v>46.2</v>
      </c>
      <c r="D29">
        <v>0.91729323308270672</v>
      </c>
      <c r="F29">
        <v>18334</v>
      </c>
      <c r="G29">
        <v>558.6</v>
      </c>
      <c r="H29">
        <v>88.600000000000009</v>
      </c>
      <c r="I29">
        <v>0.84138918725384892</v>
      </c>
    </row>
    <row r="30" spans="1:9">
      <c r="A30">
        <v>18336</v>
      </c>
      <c r="B30">
        <v>558.6</v>
      </c>
      <c r="C30">
        <v>144.19999999999999</v>
      </c>
      <c r="D30">
        <v>0.74185463659147877</v>
      </c>
      <c r="F30">
        <v>18335</v>
      </c>
      <c r="G30">
        <v>558.6</v>
      </c>
      <c r="H30">
        <v>46.2</v>
      </c>
      <c r="I30">
        <v>0.91729323308270672</v>
      </c>
    </row>
    <row r="31" spans="1:9">
      <c r="A31">
        <v>18338</v>
      </c>
      <c r="B31">
        <v>558.6</v>
      </c>
      <c r="C31">
        <v>42.000000000000007</v>
      </c>
      <c r="D31">
        <v>0.92481203007518797</v>
      </c>
      <c r="F31">
        <v>18336</v>
      </c>
      <c r="G31">
        <v>558.6</v>
      </c>
      <c r="H31">
        <v>144.19999999999999</v>
      </c>
      <c r="I31">
        <v>0.74185463659147877</v>
      </c>
    </row>
    <row r="32" spans="1:9">
      <c r="A32">
        <v>18339</v>
      </c>
      <c r="B32">
        <v>558.6</v>
      </c>
      <c r="C32">
        <v>75.400000000000006</v>
      </c>
      <c r="D32">
        <v>0.86501969208736129</v>
      </c>
      <c r="F32">
        <v>18338</v>
      </c>
      <c r="G32">
        <v>558.6</v>
      </c>
      <c r="H32">
        <v>42.000000000000007</v>
      </c>
      <c r="I32">
        <v>0.92481203007518797</v>
      </c>
    </row>
    <row r="33" spans="1:9">
      <c r="A33">
        <v>18340</v>
      </c>
      <c r="B33">
        <v>558.6</v>
      </c>
      <c r="C33">
        <v>93.2</v>
      </c>
      <c r="D33">
        <v>0.8331543143573219</v>
      </c>
      <c r="F33">
        <v>18339</v>
      </c>
      <c r="G33">
        <v>558.6</v>
      </c>
      <c r="H33">
        <v>75.400000000000006</v>
      </c>
      <c r="I33">
        <v>0.86501969208736129</v>
      </c>
    </row>
    <row r="34" spans="1:9">
      <c r="A34">
        <v>18341</v>
      </c>
      <c r="B34">
        <v>558.6</v>
      </c>
      <c r="C34">
        <v>6.2</v>
      </c>
      <c r="D34">
        <v>0.98890082348728958</v>
      </c>
      <c r="F34">
        <v>18340</v>
      </c>
      <c r="G34">
        <v>558.6</v>
      </c>
      <c r="H34">
        <v>93.2</v>
      </c>
      <c r="I34">
        <v>0.8331543143573219</v>
      </c>
    </row>
    <row r="35" spans="1:9">
      <c r="A35">
        <v>18342</v>
      </c>
      <c r="B35">
        <v>558.6</v>
      </c>
      <c r="C35">
        <v>54.600000000000009</v>
      </c>
      <c r="D35">
        <v>0.90225563909774431</v>
      </c>
      <c r="F35">
        <v>18341</v>
      </c>
      <c r="G35">
        <v>558.6</v>
      </c>
      <c r="H35">
        <v>6.2</v>
      </c>
      <c r="I35">
        <v>0.98890082348728958</v>
      </c>
    </row>
    <row r="36" spans="1:9">
      <c r="A36">
        <v>18344</v>
      </c>
      <c r="B36">
        <v>558.6</v>
      </c>
      <c r="C36">
        <v>88.000000000000014</v>
      </c>
      <c r="D36">
        <v>0.84246330110991763</v>
      </c>
      <c r="F36">
        <v>18342</v>
      </c>
      <c r="G36">
        <v>558.6</v>
      </c>
      <c r="H36">
        <v>54.600000000000009</v>
      </c>
      <c r="I36">
        <v>0.90225563909774431</v>
      </c>
    </row>
    <row r="37" spans="1:9">
      <c r="A37">
        <v>18345</v>
      </c>
      <c r="B37">
        <v>558.6</v>
      </c>
      <c r="C37">
        <v>107</v>
      </c>
      <c r="D37">
        <v>0.80844969566774083</v>
      </c>
      <c r="F37">
        <v>18344</v>
      </c>
      <c r="G37">
        <v>558.6</v>
      </c>
      <c r="H37">
        <v>88.000000000000014</v>
      </c>
      <c r="I37">
        <v>0.84246330110991763</v>
      </c>
    </row>
    <row r="38" spans="1:9">
      <c r="A38">
        <v>18347</v>
      </c>
      <c r="B38">
        <v>558.6</v>
      </c>
      <c r="C38">
        <v>147.80000000000001</v>
      </c>
      <c r="D38">
        <v>0.73540995345506621</v>
      </c>
      <c r="F38">
        <v>18345</v>
      </c>
      <c r="G38">
        <v>558.6</v>
      </c>
      <c r="H38">
        <v>107</v>
      </c>
      <c r="I38">
        <v>0.80844969566774083</v>
      </c>
    </row>
    <row r="39" spans="1:9">
      <c r="A39">
        <v>18349</v>
      </c>
      <c r="B39">
        <v>558.6</v>
      </c>
      <c r="C39">
        <v>109.2</v>
      </c>
      <c r="D39">
        <v>0.80451127819548873</v>
      </c>
      <c r="F39">
        <v>18347</v>
      </c>
      <c r="G39">
        <v>558.6</v>
      </c>
      <c r="H39">
        <v>147.80000000000001</v>
      </c>
      <c r="I39">
        <v>0.73540995345506621</v>
      </c>
    </row>
    <row r="40" spans="1:9">
      <c r="A40">
        <v>18350</v>
      </c>
      <c r="B40">
        <v>558.6</v>
      </c>
      <c r="C40">
        <v>0</v>
      </c>
      <c r="D40">
        <v>1</v>
      </c>
      <c r="F40">
        <v>18349</v>
      </c>
      <c r="G40">
        <v>558.6</v>
      </c>
      <c r="H40">
        <v>109.2</v>
      </c>
      <c r="I40">
        <v>0.80451127819548873</v>
      </c>
    </row>
    <row r="41" spans="1:9">
      <c r="A41">
        <v>18351</v>
      </c>
      <c r="B41">
        <v>558.6</v>
      </c>
      <c r="C41">
        <v>77.599999999999994</v>
      </c>
      <c r="D41">
        <v>0.86108127461510919</v>
      </c>
      <c r="F41">
        <v>18350</v>
      </c>
      <c r="G41">
        <v>558.6</v>
      </c>
      <c r="H41">
        <v>0</v>
      </c>
      <c r="I41">
        <v>1</v>
      </c>
    </row>
    <row r="42" spans="1:9">
      <c r="A42">
        <v>18352</v>
      </c>
      <c r="B42">
        <v>558.6</v>
      </c>
      <c r="C42">
        <v>6.2</v>
      </c>
      <c r="D42">
        <v>0.98890082348728958</v>
      </c>
      <c r="F42">
        <v>18351</v>
      </c>
      <c r="G42">
        <v>558.6</v>
      </c>
      <c r="H42">
        <v>77.599999999999994</v>
      </c>
      <c r="I42">
        <v>0.86108127461510919</v>
      </c>
    </row>
    <row r="43" spans="1:9">
      <c r="A43">
        <v>18353</v>
      </c>
      <c r="B43">
        <v>558.6</v>
      </c>
      <c r="C43">
        <v>82.40000000000002</v>
      </c>
      <c r="D43">
        <v>0.85248836376655923</v>
      </c>
      <c r="F43">
        <v>18352</v>
      </c>
      <c r="G43">
        <v>558.6</v>
      </c>
      <c r="H43">
        <v>6.2</v>
      </c>
      <c r="I43">
        <v>0.98890082348728958</v>
      </c>
    </row>
    <row r="44" spans="1:9">
      <c r="A44">
        <v>18354</v>
      </c>
      <c r="B44">
        <v>558.6</v>
      </c>
      <c r="C44">
        <v>41.8</v>
      </c>
      <c r="D44">
        <v>0.92517006802721102</v>
      </c>
      <c r="F44">
        <v>18353</v>
      </c>
      <c r="G44">
        <v>558.6</v>
      </c>
      <c r="H44">
        <v>82.40000000000002</v>
      </c>
      <c r="I44">
        <v>0.85248836376655923</v>
      </c>
    </row>
    <row r="45" spans="1:9">
      <c r="A45">
        <v>18355</v>
      </c>
      <c r="B45">
        <v>558.6</v>
      </c>
      <c r="C45">
        <v>69.2</v>
      </c>
      <c r="D45">
        <v>0.8761188686000716</v>
      </c>
      <c r="F45">
        <v>18354</v>
      </c>
      <c r="G45">
        <v>558.6</v>
      </c>
      <c r="H45">
        <v>41.8</v>
      </c>
      <c r="I45">
        <v>0.92517006802721102</v>
      </c>
    </row>
    <row r="46" spans="1:9">
      <c r="A46">
        <v>18359</v>
      </c>
      <c r="B46">
        <v>558.6</v>
      </c>
      <c r="C46">
        <v>0</v>
      </c>
      <c r="D46">
        <v>1</v>
      </c>
      <c r="F46">
        <v>18355</v>
      </c>
      <c r="G46">
        <v>558.6</v>
      </c>
      <c r="H46">
        <v>69.2</v>
      </c>
      <c r="I46">
        <v>0.8761188686000716</v>
      </c>
    </row>
    <row r="47" spans="1:9">
      <c r="A47">
        <v>18360</v>
      </c>
      <c r="B47">
        <v>558.6</v>
      </c>
      <c r="C47">
        <v>89.2</v>
      </c>
      <c r="D47">
        <v>0.84031507339778022</v>
      </c>
      <c r="F47">
        <v>18359</v>
      </c>
      <c r="G47">
        <v>558.6</v>
      </c>
      <c r="H47">
        <v>0</v>
      </c>
      <c r="I47">
        <v>1</v>
      </c>
    </row>
    <row r="48" spans="1:9">
      <c r="A48">
        <v>18364</v>
      </c>
      <c r="B48">
        <v>558.6</v>
      </c>
      <c r="C48">
        <v>63</v>
      </c>
      <c r="D48">
        <v>0.88721804511278191</v>
      </c>
      <c r="F48">
        <v>18360</v>
      </c>
      <c r="G48">
        <v>558.6</v>
      </c>
      <c r="H48">
        <v>89.2</v>
      </c>
      <c r="I48">
        <v>0.84031507339778022</v>
      </c>
    </row>
    <row r="49" spans="1:9">
      <c r="A49">
        <v>18372</v>
      </c>
      <c r="B49">
        <v>558.6</v>
      </c>
      <c r="C49">
        <v>24</v>
      </c>
      <c r="D49">
        <v>0.9570354457572503</v>
      </c>
      <c r="F49">
        <v>18364</v>
      </c>
      <c r="G49">
        <v>558.6</v>
      </c>
      <c r="H49">
        <v>63</v>
      </c>
      <c r="I49">
        <v>0.88721804511278191</v>
      </c>
    </row>
    <row r="50" spans="1:9">
      <c r="A50">
        <v>18376</v>
      </c>
      <c r="B50">
        <v>558.6</v>
      </c>
      <c r="C50">
        <v>134.39999999999998</v>
      </c>
      <c r="D50">
        <v>0.75939849624060152</v>
      </c>
      <c r="F50">
        <v>18372</v>
      </c>
      <c r="G50">
        <v>558.6</v>
      </c>
      <c r="H50">
        <v>24</v>
      </c>
      <c r="I50">
        <v>0.9570354457572503</v>
      </c>
    </row>
    <row r="51" spans="1:9">
      <c r="A51">
        <v>18380</v>
      </c>
      <c r="B51">
        <v>558.6</v>
      </c>
      <c r="C51">
        <v>55.600000000000009</v>
      </c>
      <c r="D51">
        <v>0.90046544933762973</v>
      </c>
      <c r="F51">
        <v>18376</v>
      </c>
      <c r="G51">
        <v>558.6</v>
      </c>
      <c r="H51">
        <v>134.39999999999998</v>
      </c>
      <c r="I51">
        <v>0.75939849624060152</v>
      </c>
    </row>
    <row r="52" spans="1:9">
      <c r="A52">
        <v>18381</v>
      </c>
      <c r="B52">
        <v>558.6</v>
      </c>
      <c r="C52">
        <v>59.800000000000004</v>
      </c>
      <c r="D52">
        <v>0.89294665234514858</v>
      </c>
      <c r="F52">
        <v>18380</v>
      </c>
      <c r="G52">
        <v>558.6</v>
      </c>
      <c r="H52">
        <v>55.600000000000009</v>
      </c>
      <c r="I52">
        <v>0.90046544933762973</v>
      </c>
    </row>
    <row r="53" spans="1:9">
      <c r="A53">
        <v>18382</v>
      </c>
      <c r="B53">
        <v>558.6</v>
      </c>
      <c r="C53">
        <v>102.6</v>
      </c>
      <c r="D53">
        <v>0.81632653061224492</v>
      </c>
      <c r="F53">
        <v>18381</v>
      </c>
      <c r="G53">
        <v>558.6</v>
      </c>
      <c r="H53">
        <v>59.800000000000004</v>
      </c>
      <c r="I53">
        <v>0.89294665234514858</v>
      </c>
    </row>
    <row r="54" spans="1:9">
      <c r="A54">
        <v>18384</v>
      </c>
      <c r="B54">
        <v>558.6</v>
      </c>
      <c r="C54">
        <v>46.20000000000001</v>
      </c>
      <c r="D54">
        <v>0.91729323308270672</v>
      </c>
      <c r="F54">
        <v>18382</v>
      </c>
      <c r="G54">
        <v>558.6</v>
      </c>
      <c r="H54">
        <v>102.6</v>
      </c>
      <c r="I54">
        <v>0.81632653061224492</v>
      </c>
    </row>
    <row r="55" spans="1:9">
      <c r="A55">
        <v>18385</v>
      </c>
      <c r="B55">
        <v>558.6</v>
      </c>
      <c r="C55">
        <v>29.400000000000002</v>
      </c>
      <c r="D55">
        <v>0.94736842105263164</v>
      </c>
      <c r="F55">
        <v>18384</v>
      </c>
      <c r="G55">
        <v>558.6</v>
      </c>
      <c r="H55">
        <v>46.20000000000001</v>
      </c>
      <c r="I55">
        <v>0.91729323308270672</v>
      </c>
    </row>
    <row r="56" spans="1:9">
      <c r="A56">
        <v>18386</v>
      </c>
      <c r="B56">
        <v>558.6</v>
      </c>
      <c r="C56">
        <v>63.000000000000007</v>
      </c>
      <c r="D56">
        <v>0.88721804511278191</v>
      </c>
      <c r="F56">
        <v>18385</v>
      </c>
      <c r="G56">
        <v>558.6</v>
      </c>
      <c r="H56">
        <v>29.400000000000002</v>
      </c>
      <c r="I56">
        <v>0.94736842105263164</v>
      </c>
    </row>
    <row r="57" spans="1:9">
      <c r="A57">
        <v>18389</v>
      </c>
      <c r="B57">
        <v>558.6</v>
      </c>
      <c r="C57">
        <v>121.6</v>
      </c>
      <c r="D57">
        <v>0.78231292517006801</v>
      </c>
      <c r="F57">
        <v>18386</v>
      </c>
      <c r="G57">
        <v>558.6</v>
      </c>
      <c r="H57">
        <v>63.000000000000007</v>
      </c>
      <c r="I57">
        <v>0.88721804511278191</v>
      </c>
    </row>
    <row r="58" spans="1:9">
      <c r="A58">
        <v>18390</v>
      </c>
      <c r="B58">
        <v>558.6</v>
      </c>
      <c r="C58">
        <v>37.800000000000004</v>
      </c>
      <c r="D58">
        <v>0.93233082706766923</v>
      </c>
      <c r="F58">
        <v>18389</v>
      </c>
      <c r="G58">
        <v>558.6</v>
      </c>
      <c r="H58">
        <v>121.6</v>
      </c>
      <c r="I58">
        <v>0.78231292517006801</v>
      </c>
    </row>
    <row r="59" spans="1:9">
      <c r="A59">
        <v>18392</v>
      </c>
      <c r="B59">
        <v>558.6</v>
      </c>
      <c r="C59">
        <v>37.400000000000006</v>
      </c>
      <c r="D59">
        <v>0.933046902971715</v>
      </c>
      <c r="F59">
        <v>18390</v>
      </c>
      <c r="G59">
        <v>558.6</v>
      </c>
      <c r="H59">
        <v>37.800000000000004</v>
      </c>
      <c r="I59">
        <v>0.93233082706766923</v>
      </c>
    </row>
    <row r="60" spans="1:9">
      <c r="A60">
        <v>18402</v>
      </c>
      <c r="B60">
        <v>558.6</v>
      </c>
      <c r="C60">
        <v>0</v>
      </c>
      <c r="D60">
        <v>1</v>
      </c>
      <c r="F60">
        <v>18392</v>
      </c>
      <c r="G60">
        <v>558.6</v>
      </c>
      <c r="H60">
        <v>37.400000000000006</v>
      </c>
      <c r="I60">
        <v>0.933046902971715</v>
      </c>
    </row>
    <row r="61" spans="1:9">
      <c r="A61">
        <v>18405</v>
      </c>
      <c r="B61">
        <v>558.6</v>
      </c>
      <c r="C61">
        <v>12.600000000000001</v>
      </c>
      <c r="D61">
        <v>0.97744360902255634</v>
      </c>
      <c r="F61">
        <v>18402</v>
      </c>
      <c r="G61">
        <v>558.6</v>
      </c>
      <c r="H61">
        <v>0</v>
      </c>
      <c r="I61">
        <v>1</v>
      </c>
    </row>
    <row r="62" spans="1:9">
      <c r="A62">
        <v>18408</v>
      </c>
      <c r="B62">
        <v>558.6</v>
      </c>
      <c r="C62">
        <v>53.400000000000006</v>
      </c>
      <c r="D62">
        <v>0.90440386680988194</v>
      </c>
      <c r="F62">
        <v>18405</v>
      </c>
      <c r="G62">
        <v>558.6</v>
      </c>
      <c r="H62">
        <v>12.600000000000001</v>
      </c>
      <c r="I62">
        <v>0.97744360902255634</v>
      </c>
    </row>
    <row r="63" spans="1:9">
      <c r="A63">
        <v>18424</v>
      </c>
      <c r="B63">
        <v>558.6</v>
      </c>
      <c r="C63">
        <v>86.000000000000014</v>
      </c>
      <c r="D63">
        <v>0.84604368063014679</v>
      </c>
      <c r="F63">
        <v>18408</v>
      </c>
      <c r="G63">
        <v>558.6</v>
      </c>
      <c r="H63">
        <v>53.400000000000006</v>
      </c>
      <c r="I63">
        <v>0.90440386680988194</v>
      </c>
    </row>
    <row r="64" spans="1:9">
      <c r="A64">
        <v>18425</v>
      </c>
      <c r="B64">
        <v>558.6</v>
      </c>
      <c r="C64">
        <v>13.600000000000001</v>
      </c>
      <c r="D64">
        <v>0.97565341926244176</v>
      </c>
      <c r="F64">
        <v>18424</v>
      </c>
      <c r="G64">
        <v>558.6</v>
      </c>
      <c r="H64">
        <v>86.000000000000014</v>
      </c>
      <c r="I64">
        <v>0.84604368063014679</v>
      </c>
    </row>
    <row r="65" spans="1:9">
      <c r="A65">
        <v>18427</v>
      </c>
      <c r="B65">
        <v>558.6</v>
      </c>
      <c r="C65">
        <v>15.600000000000001</v>
      </c>
      <c r="D65">
        <v>0.9720730397422126</v>
      </c>
      <c r="F65">
        <v>18425</v>
      </c>
      <c r="G65">
        <v>558.6</v>
      </c>
      <c r="H65">
        <v>13.600000000000001</v>
      </c>
      <c r="I65">
        <v>0.97565341926244176</v>
      </c>
    </row>
    <row r="66" spans="1:9">
      <c r="A66">
        <v>18428</v>
      </c>
      <c r="B66">
        <v>558.6</v>
      </c>
      <c r="C66">
        <v>6.2</v>
      </c>
      <c r="D66">
        <v>0.98890082348728958</v>
      </c>
      <c r="F66">
        <v>18427</v>
      </c>
      <c r="G66">
        <v>558.6</v>
      </c>
      <c r="H66">
        <v>15.600000000000001</v>
      </c>
      <c r="I66">
        <v>0.9720730397422126</v>
      </c>
    </row>
    <row r="67" spans="1:9">
      <c r="A67">
        <v>18429</v>
      </c>
      <c r="B67">
        <v>558.6</v>
      </c>
      <c r="C67">
        <v>69.2</v>
      </c>
      <c r="D67">
        <v>0.8761188686000716</v>
      </c>
      <c r="F67">
        <v>18428</v>
      </c>
      <c r="G67">
        <v>558.6</v>
      </c>
      <c r="H67">
        <v>6.2</v>
      </c>
      <c r="I67">
        <v>0.98890082348728958</v>
      </c>
    </row>
    <row r="68" spans="1:9">
      <c r="A68">
        <v>18436</v>
      </c>
      <c r="B68">
        <v>558.6</v>
      </c>
      <c r="C68">
        <v>87.000000000000014</v>
      </c>
      <c r="D68">
        <v>0.84425349087003221</v>
      </c>
      <c r="F68">
        <v>18429</v>
      </c>
      <c r="G68">
        <v>558.6</v>
      </c>
      <c r="H68">
        <v>69.2</v>
      </c>
      <c r="I68">
        <v>0.8761188686000716</v>
      </c>
    </row>
    <row r="69" spans="1:9">
      <c r="A69">
        <v>18437</v>
      </c>
      <c r="B69">
        <v>558.6</v>
      </c>
      <c r="C69">
        <v>136.4</v>
      </c>
      <c r="D69">
        <v>0.75581811672037236</v>
      </c>
      <c r="F69">
        <v>18436</v>
      </c>
      <c r="G69">
        <v>558.6</v>
      </c>
      <c r="H69">
        <v>87.000000000000014</v>
      </c>
      <c r="I69">
        <v>0.84425349087003221</v>
      </c>
    </row>
    <row r="70" spans="1:9">
      <c r="A70">
        <v>18439</v>
      </c>
      <c r="B70">
        <v>558.6</v>
      </c>
      <c r="C70">
        <v>120.20000000000002</v>
      </c>
      <c r="D70">
        <v>0.78481919083422835</v>
      </c>
      <c r="F70">
        <v>18437</v>
      </c>
      <c r="G70">
        <v>558.6</v>
      </c>
      <c r="H70">
        <v>136.4</v>
      </c>
      <c r="I70">
        <v>0.75581811672037236</v>
      </c>
    </row>
    <row r="71" spans="1:9">
      <c r="A71">
        <v>18440</v>
      </c>
      <c r="B71">
        <v>558.6</v>
      </c>
      <c r="C71">
        <v>138.6</v>
      </c>
      <c r="D71">
        <v>0.75187969924812026</v>
      </c>
      <c r="F71">
        <v>18439</v>
      </c>
      <c r="G71">
        <v>558.6</v>
      </c>
      <c r="H71">
        <v>120.20000000000002</v>
      </c>
      <c r="I71">
        <v>0.78481919083422835</v>
      </c>
    </row>
    <row r="72" spans="1:9">
      <c r="A72">
        <v>18441</v>
      </c>
      <c r="B72">
        <v>558.6</v>
      </c>
      <c r="C72">
        <v>71.400000000000006</v>
      </c>
      <c r="D72">
        <v>0.87218045112781961</v>
      </c>
      <c r="F72">
        <v>18440</v>
      </c>
      <c r="G72">
        <v>558.6</v>
      </c>
      <c r="H72">
        <v>138.6</v>
      </c>
      <c r="I72">
        <v>0.75187969924812026</v>
      </c>
    </row>
    <row r="73" spans="1:9">
      <c r="A73">
        <v>18443</v>
      </c>
      <c r="B73">
        <v>558.6</v>
      </c>
      <c r="C73">
        <v>43.800000000000004</v>
      </c>
      <c r="D73">
        <v>0.92158968850698186</v>
      </c>
      <c r="F73">
        <v>18441</v>
      </c>
      <c r="G73">
        <v>558.6</v>
      </c>
      <c r="H73">
        <v>71.400000000000006</v>
      </c>
      <c r="I73">
        <v>0.87218045112781961</v>
      </c>
    </row>
    <row r="74" spans="1:9">
      <c r="A74">
        <v>18445</v>
      </c>
      <c r="B74">
        <v>558.6</v>
      </c>
      <c r="C74">
        <v>98.399999999999991</v>
      </c>
      <c r="D74">
        <v>0.82384532760472617</v>
      </c>
      <c r="F74">
        <v>18443</v>
      </c>
      <c r="G74">
        <v>558.6</v>
      </c>
      <c r="H74">
        <v>43.800000000000004</v>
      </c>
      <c r="I74">
        <v>0.92158968850698186</v>
      </c>
    </row>
    <row r="75" spans="1:9">
      <c r="A75">
        <v>18446</v>
      </c>
      <c r="B75">
        <v>558.6</v>
      </c>
      <c r="C75">
        <v>25</v>
      </c>
      <c r="D75">
        <v>0.95524525599713572</v>
      </c>
      <c r="F75">
        <v>18445</v>
      </c>
      <c r="G75">
        <v>558.6</v>
      </c>
      <c r="H75">
        <v>98.399999999999991</v>
      </c>
      <c r="I75">
        <v>0.82384532760472617</v>
      </c>
    </row>
    <row r="76" spans="1:9">
      <c r="A76">
        <v>18447</v>
      </c>
      <c r="B76">
        <v>558.6</v>
      </c>
      <c r="C76">
        <v>258</v>
      </c>
      <c r="D76">
        <v>0.55316863587540277</v>
      </c>
      <c r="F76">
        <v>18446</v>
      </c>
      <c r="G76">
        <v>558.6</v>
      </c>
      <c r="H76">
        <v>25</v>
      </c>
      <c r="I76">
        <v>0.95524525599713572</v>
      </c>
    </row>
    <row r="77" spans="1:9">
      <c r="A77">
        <v>18448</v>
      </c>
      <c r="B77">
        <v>558.6</v>
      </c>
      <c r="C77">
        <v>150</v>
      </c>
      <c r="D77">
        <v>0.73147153598281422</v>
      </c>
      <c r="F77">
        <v>18447</v>
      </c>
      <c r="G77">
        <v>558.6</v>
      </c>
      <c r="H77">
        <v>258</v>
      </c>
      <c r="I77">
        <v>0.55316863587540277</v>
      </c>
    </row>
    <row r="78" spans="1:9">
      <c r="A78">
        <v>18450</v>
      </c>
      <c r="B78">
        <v>558.6</v>
      </c>
      <c r="C78">
        <v>79.800000000000011</v>
      </c>
      <c r="D78">
        <v>0.8571428571428571</v>
      </c>
      <c r="F78">
        <v>18448</v>
      </c>
      <c r="G78">
        <v>558.6</v>
      </c>
      <c r="H78">
        <v>150</v>
      </c>
      <c r="I78">
        <v>0.73147153598281422</v>
      </c>
    </row>
    <row r="79" spans="1:9">
      <c r="A79">
        <v>18451</v>
      </c>
      <c r="B79">
        <v>558.6</v>
      </c>
      <c r="C79">
        <v>2</v>
      </c>
      <c r="D79">
        <v>0.99641962047977084</v>
      </c>
      <c r="F79">
        <v>18450</v>
      </c>
      <c r="G79">
        <v>558.6</v>
      </c>
      <c r="H79">
        <v>79.800000000000011</v>
      </c>
      <c r="I79">
        <v>0.8571428571428571</v>
      </c>
    </row>
    <row r="80" spans="1:9">
      <c r="A80">
        <v>18458</v>
      </c>
      <c r="B80">
        <v>558.6</v>
      </c>
      <c r="C80">
        <v>67.2</v>
      </c>
      <c r="D80">
        <v>0.87969924812030076</v>
      </c>
      <c r="F80">
        <v>18451</v>
      </c>
      <c r="G80">
        <v>558.6</v>
      </c>
      <c r="H80">
        <v>2</v>
      </c>
      <c r="I80">
        <v>0.99641962047977084</v>
      </c>
    </row>
    <row r="81" spans="1:9">
      <c r="A81">
        <v>18461</v>
      </c>
      <c r="B81">
        <v>558.6</v>
      </c>
      <c r="C81">
        <v>16.8</v>
      </c>
      <c r="D81">
        <v>0.9699248120300753</v>
      </c>
      <c r="F81">
        <v>18458</v>
      </c>
      <c r="G81">
        <v>558.6</v>
      </c>
      <c r="H81">
        <v>67.2</v>
      </c>
      <c r="I81">
        <v>0.87969924812030076</v>
      </c>
    </row>
    <row r="82" spans="1:9">
      <c r="A82">
        <v>18469</v>
      </c>
      <c r="B82">
        <v>558.6</v>
      </c>
      <c r="C82">
        <v>187.8</v>
      </c>
      <c r="D82">
        <v>0.67096312209094167</v>
      </c>
      <c r="F82">
        <v>18461</v>
      </c>
      <c r="G82">
        <v>558.6</v>
      </c>
      <c r="H82">
        <v>16.8</v>
      </c>
      <c r="I82">
        <v>0.9699248120300753</v>
      </c>
    </row>
    <row r="83" spans="1:9">
      <c r="A83">
        <v>18477</v>
      </c>
      <c r="B83">
        <v>558.6</v>
      </c>
      <c r="C83">
        <v>67.2</v>
      </c>
      <c r="D83">
        <v>0.87969924812030076</v>
      </c>
      <c r="F83">
        <v>18469</v>
      </c>
      <c r="G83">
        <v>558.6</v>
      </c>
      <c r="H83">
        <v>187.8</v>
      </c>
      <c r="I83">
        <v>0.67096312209094167</v>
      </c>
    </row>
    <row r="84" spans="1:9">
      <c r="A84">
        <v>18480</v>
      </c>
      <c r="B84">
        <v>558.6</v>
      </c>
      <c r="C84">
        <v>46.20000000000001</v>
      </c>
      <c r="D84">
        <v>0.91729323308270672</v>
      </c>
      <c r="F84">
        <v>18477</v>
      </c>
      <c r="G84">
        <v>558.6</v>
      </c>
      <c r="H84">
        <v>67.2</v>
      </c>
      <c r="I84">
        <v>0.87969924812030076</v>
      </c>
    </row>
    <row r="85" spans="1:9">
      <c r="A85">
        <v>18486</v>
      </c>
      <c r="B85">
        <v>558.6</v>
      </c>
      <c r="C85">
        <v>83.8</v>
      </c>
      <c r="D85">
        <v>0.84998209810239889</v>
      </c>
      <c r="F85">
        <v>18480</v>
      </c>
      <c r="G85">
        <v>558.6</v>
      </c>
      <c r="H85">
        <v>46.20000000000001</v>
      </c>
      <c r="I85">
        <v>0.91729323308270672</v>
      </c>
    </row>
    <row r="86" spans="1:9">
      <c r="A86">
        <v>18487</v>
      </c>
      <c r="B86">
        <v>558.6</v>
      </c>
      <c r="C86">
        <v>93.2</v>
      </c>
      <c r="D86">
        <v>0.8331543143573219</v>
      </c>
      <c r="F86">
        <v>18486</v>
      </c>
      <c r="G86">
        <v>558.6</v>
      </c>
      <c r="H86">
        <v>83.8</v>
      </c>
      <c r="I86">
        <v>0.84998209810239889</v>
      </c>
    </row>
    <row r="87" spans="1:9">
      <c r="A87">
        <v>18489</v>
      </c>
      <c r="B87">
        <v>558.6</v>
      </c>
      <c r="C87">
        <v>54.600000000000009</v>
      </c>
      <c r="D87">
        <v>0.90225563909774431</v>
      </c>
      <c r="F87">
        <v>18487</v>
      </c>
      <c r="G87">
        <v>558.6</v>
      </c>
      <c r="H87">
        <v>93.2</v>
      </c>
      <c r="I87">
        <v>0.8331543143573219</v>
      </c>
    </row>
    <row r="88" spans="1:9">
      <c r="A88">
        <v>18491</v>
      </c>
      <c r="B88">
        <v>558.6</v>
      </c>
      <c r="C88">
        <v>121.4</v>
      </c>
      <c r="D88">
        <v>0.78267096312209095</v>
      </c>
      <c r="F88">
        <v>18489</v>
      </c>
      <c r="G88">
        <v>558.6</v>
      </c>
      <c r="H88">
        <v>54.600000000000009</v>
      </c>
      <c r="I88">
        <v>0.90225563909774431</v>
      </c>
    </row>
    <row r="89" spans="1:9">
      <c r="A89">
        <v>18492</v>
      </c>
      <c r="B89">
        <v>558.6</v>
      </c>
      <c r="C89">
        <v>25.2</v>
      </c>
      <c r="D89">
        <v>0.95488721804511267</v>
      </c>
      <c r="F89">
        <v>18491</v>
      </c>
      <c r="G89">
        <v>558.6</v>
      </c>
      <c r="H89">
        <v>121.4</v>
      </c>
      <c r="I89">
        <v>0.78267096312209095</v>
      </c>
    </row>
    <row r="90" spans="1:9">
      <c r="A90">
        <v>18493</v>
      </c>
      <c r="B90">
        <v>558.6</v>
      </c>
      <c r="C90">
        <v>54.600000000000009</v>
      </c>
      <c r="D90">
        <v>0.90225563909774431</v>
      </c>
      <c r="F90">
        <v>18492</v>
      </c>
      <c r="G90">
        <v>558.6</v>
      </c>
      <c r="H90">
        <v>25.2</v>
      </c>
      <c r="I90">
        <v>0.95488721804511267</v>
      </c>
    </row>
    <row r="91" spans="1:9">
      <c r="A91">
        <v>18494</v>
      </c>
      <c r="B91">
        <v>558.6</v>
      </c>
      <c r="C91">
        <v>96.2</v>
      </c>
      <c r="D91">
        <v>0.82778374507697816</v>
      </c>
      <c r="F91">
        <v>18493</v>
      </c>
      <c r="G91">
        <v>558.6</v>
      </c>
      <c r="H91">
        <v>54.600000000000009</v>
      </c>
      <c r="I91">
        <v>0.90225563909774431</v>
      </c>
    </row>
    <row r="92" spans="1:9">
      <c r="A92">
        <v>18496</v>
      </c>
      <c r="B92">
        <v>558.6</v>
      </c>
      <c r="C92">
        <v>126</v>
      </c>
      <c r="D92">
        <v>0.78947368421052633</v>
      </c>
      <c r="F92">
        <v>18494</v>
      </c>
      <c r="G92">
        <v>558.6</v>
      </c>
      <c r="H92">
        <v>96.2</v>
      </c>
      <c r="I92">
        <v>0.82778374507697816</v>
      </c>
    </row>
    <row r="93" spans="1:9">
      <c r="A93">
        <v>18497</v>
      </c>
      <c r="B93">
        <v>558.6</v>
      </c>
      <c r="C93">
        <v>161.6</v>
      </c>
      <c r="D93">
        <v>0.71070533476548514</v>
      </c>
      <c r="F93">
        <v>18496</v>
      </c>
      <c r="G93">
        <v>558.6</v>
      </c>
      <c r="H93">
        <v>126</v>
      </c>
      <c r="I93">
        <v>0.78947368421052633</v>
      </c>
    </row>
    <row r="94" spans="1:9">
      <c r="A94">
        <v>18503</v>
      </c>
      <c r="B94">
        <v>558.6</v>
      </c>
      <c r="C94">
        <v>79.800000000000011</v>
      </c>
      <c r="D94">
        <v>0.8571428571428571</v>
      </c>
      <c r="F94">
        <v>18497</v>
      </c>
      <c r="G94">
        <v>558.6</v>
      </c>
      <c r="H94">
        <v>161.6</v>
      </c>
      <c r="I94">
        <v>0.71070533476548514</v>
      </c>
    </row>
    <row r="95" spans="1:9">
      <c r="A95">
        <v>18504</v>
      </c>
      <c r="B95">
        <v>558.6</v>
      </c>
      <c r="C95">
        <v>90.200000000000017</v>
      </c>
      <c r="D95">
        <v>0.83852488363766553</v>
      </c>
      <c r="F95">
        <v>18503</v>
      </c>
      <c r="G95">
        <v>558.6</v>
      </c>
      <c r="H95">
        <v>79.800000000000011</v>
      </c>
      <c r="I95">
        <v>0.8571428571428571</v>
      </c>
    </row>
    <row r="96" spans="1:9">
      <c r="A96">
        <v>18506</v>
      </c>
      <c r="B96">
        <v>558.6</v>
      </c>
      <c r="C96">
        <v>185.60000000000002</v>
      </c>
      <c r="D96">
        <v>0.66774078052273533</v>
      </c>
      <c r="F96">
        <v>18504</v>
      </c>
      <c r="G96">
        <v>558.6</v>
      </c>
      <c r="H96">
        <v>90.200000000000017</v>
      </c>
      <c r="I96">
        <v>0.83852488363766553</v>
      </c>
    </row>
    <row r="97" spans="1:9">
      <c r="A97">
        <v>18521</v>
      </c>
      <c r="B97">
        <v>558.6</v>
      </c>
      <c r="C97">
        <v>224.6</v>
      </c>
      <c r="D97">
        <v>0.60544217687074831</v>
      </c>
      <c r="F97">
        <v>18506</v>
      </c>
      <c r="G97">
        <v>558.6</v>
      </c>
      <c r="H97">
        <v>185.60000000000002</v>
      </c>
      <c r="I97">
        <v>0.66774078052273533</v>
      </c>
    </row>
    <row r="98" spans="1:9">
      <c r="A98">
        <v>18530</v>
      </c>
      <c r="B98">
        <v>558.6</v>
      </c>
      <c r="C98">
        <v>69.199999999999989</v>
      </c>
      <c r="D98">
        <v>0.8761188686000716</v>
      </c>
      <c r="F98">
        <v>18521</v>
      </c>
      <c r="G98">
        <v>558.6</v>
      </c>
      <c r="H98">
        <v>224.6</v>
      </c>
      <c r="I98">
        <v>0.60544217687074831</v>
      </c>
    </row>
    <row r="99" spans="1:9">
      <c r="A99">
        <v>18538</v>
      </c>
      <c r="B99">
        <v>558.6</v>
      </c>
      <c r="C99">
        <v>108</v>
      </c>
      <c r="D99">
        <v>0.80665950590762625</v>
      </c>
      <c r="F99">
        <v>18530</v>
      </c>
      <c r="G99">
        <v>558.6</v>
      </c>
      <c r="H99">
        <v>69.199999999999989</v>
      </c>
      <c r="I99">
        <v>0.8761188686000716</v>
      </c>
    </row>
    <row r="100" spans="1:9">
      <c r="A100">
        <v>18543</v>
      </c>
      <c r="B100">
        <v>558.6</v>
      </c>
      <c r="C100">
        <v>25.2</v>
      </c>
      <c r="D100">
        <v>0.95488721804511267</v>
      </c>
      <c r="F100">
        <v>18538</v>
      </c>
      <c r="G100">
        <v>558.6</v>
      </c>
      <c r="H100">
        <v>108</v>
      </c>
      <c r="I100">
        <v>0.80665950590762625</v>
      </c>
    </row>
    <row r="101" spans="1:9">
      <c r="A101">
        <v>18549</v>
      </c>
      <c r="B101">
        <v>558.6</v>
      </c>
      <c r="C101">
        <v>113.40000000000002</v>
      </c>
      <c r="D101">
        <v>0.79699248120300747</v>
      </c>
      <c r="F101">
        <v>18543</v>
      </c>
      <c r="G101">
        <v>558.6</v>
      </c>
      <c r="H101">
        <v>25.2</v>
      </c>
      <c r="I101">
        <v>0.95488721804511267</v>
      </c>
    </row>
    <row r="102" spans="1:9">
      <c r="A102">
        <v>18559</v>
      </c>
      <c r="B102">
        <v>558.6</v>
      </c>
      <c r="C102">
        <v>109.80000000000001</v>
      </c>
      <c r="D102">
        <v>0.80343716433941992</v>
      </c>
      <c r="F102">
        <v>18549</v>
      </c>
      <c r="G102">
        <v>558.6</v>
      </c>
      <c r="H102">
        <v>113.40000000000002</v>
      </c>
      <c r="I102">
        <v>0.79699248120300747</v>
      </c>
    </row>
    <row r="103" spans="1:9">
      <c r="A103">
        <v>18564</v>
      </c>
      <c r="B103">
        <v>558.6</v>
      </c>
      <c r="C103">
        <v>112.2</v>
      </c>
      <c r="D103">
        <v>0.79914070891514499</v>
      </c>
      <c r="F103">
        <v>18559</v>
      </c>
      <c r="G103">
        <v>558.6</v>
      </c>
      <c r="H103">
        <v>109.80000000000001</v>
      </c>
      <c r="I103">
        <v>0.80343716433941992</v>
      </c>
    </row>
    <row r="104" spans="1:9">
      <c r="A104">
        <v>18565</v>
      </c>
      <c r="B104">
        <v>558.6</v>
      </c>
      <c r="C104">
        <v>24</v>
      </c>
      <c r="D104">
        <v>0.9570354457572503</v>
      </c>
      <c r="F104">
        <v>18564</v>
      </c>
      <c r="G104">
        <v>558.6</v>
      </c>
      <c r="H104">
        <v>112.2</v>
      </c>
      <c r="I104">
        <v>0.79914070891514499</v>
      </c>
    </row>
    <row r="105" spans="1:9">
      <c r="A105">
        <v>18566</v>
      </c>
      <c r="B105">
        <v>558.6</v>
      </c>
      <c r="C105">
        <v>42</v>
      </c>
      <c r="D105">
        <v>0.92481203007518797</v>
      </c>
      <c r="F105">
        <v>18565</v>
      </c>
      <c r="G105">
        <v>558.6</v>
      </c>
      <c r="H105">
        <v>24</v>
      </c>
      <c r="I105">
        <v>0.9570354457572503</v>
      </c>
    </row>
    <row r="106" spans="1:9">
      <c r="A106">
        <v>18572</v>
      </c>
      <c r="B106">
        <v>558.6</v>
      </c>
      <c r="C106">
        <v>0</v>
      </c>
      <c r="D106">
        <v>1</v>
      </c>
      <c r="F106">
        <v>18566</v>
      </c>
      <c r="G106">
        <v>558.6</v>
      </c>
      <c r="H106">
        <v>42</v>
      </c>
      <c r="I106">
        <v>0.92481203007518797</v>
      </c>
    </row>
    <row r="107" spans="1:9">
      <c r="A107">
        <v>18573</v>
      </c>
      <c r="B107">
        <v>558.6</v>
      </c>
      <c r="C107">
        <v>8.4</v>
      </c>
      <c r="D107">
        <v>0.98496240601503759</v>
      </c>
      <c r="F107">
        <v>18572</v>
      </c>
      <c r="G107">
        <v>558.6</v>
      </c>
      <c r="H107">
        <v>0</v>
      </c>
      <c r="I107">
        <v>1</v>
      </c>
    </row>
    <row r="108" spans="1:9">
      <c r="A108">
        <v>18575</v>
      </c>
      <c r="B108">
        <v>558.6</v>
      </c>
      <c r="C108">
        <v>0</v>
      </c>
      <c r="D108">
        <v>1</v>
      </c>
      <c r="F108">
        <v>18573</v>
      </c>
      <c r="G108">
        <v>558.6</v>
      </c>
      <c r="H108">
        <v>8.4</v>
      </c>
      <c r="I108">
        <v>0.98496240601503759</v>
      </c>
    </row>
    <row r="109" spans="1:9">
      <c r="A109">
        <v>18579</v>
      </c>
      <c r="B109">
        <v>558.6</v>
      </c>
      <c r="C109">
        <v>194.20000000000002</v>
      </c>
      <c r="D109">
        <v>0.65234514858574999</v>
      </c>
      <c r="F109">
        <v>18575</v>
      </c>
      <c r="G109">
        <v>558.6</v>
      </c>
      <c r="H109">
        <v>0</v>
      </c>
      <c r="I109">
        <v>1</v>
      </c>
    </row>
    <row r="110" spans="1:9">
      <c r="A110">
        <v>18582</v>
      </c>
      <c r="B110">
        <v>558.6</v>
      </c>
      <c r="C110">
        <v>164.8</v>
      </c>
      <c r="D110">
        <v>0.72001432151808087</v>
      </c>
      <c r="F110">
        <v>18579</v>
      </c>
      <c r="G110">
        <v>558.6</v>
      </c>
      <c r="H110">
        <v>194.20000000000002</v>
      </c>
      <c r="I110">
        <v>0.65234514858574999</v>
      </c>
    </row>
    <row r="111" spans="1:9">
      <c r="A111">
        <v>18585</v>
      </c>
      <c r="B111">
        <v>558.6</v>
      </c>
      <c r="C111">
        <v>88.2</v>
      </c>
      <c r="D111">
        <v>0.8421052631578948</v>
      </c>
      <c r="F111">
        <v>18582</v>
      </c>
      <c r="G111">
        <v>558.6</v>
      </c>
      <c r="H111">
        <v>164.8</v>
      </c>
      <c r="I111">
        <v>0.72001432151808087</v>
      </c>
    </row>
    <row r="112" spans="1:9">
      <c r="A112">
        <v>18586</v>
      </c>
      <c r="B112">
        <v>558.6</v>
      </c>
      <c r="C112">
        <v>126</v>
      </c>
      <c r="D112">
        <v>0.77443609022556392</v>
      </c>
      <c r="F112">
        <v>18585</v>
      </c>
      <c r="G112">
        <v>558.6</v>
      </c>
      <c r="H112">
        <v>88.2</v>
      </c>
      <c r="I112">
        <v>0.8421052631578948</v>
      </c>
    </row>
    <row r="113" spans="1:9">
      <c r="A113">
        <v>18589</v>
      </c>
      <c r="B113">
        <v>558.6</v>
      </c>
      <c r="C113">
        <v>91.2</v>
      </c>
      <c r="D113">
        <v>0.83673469387755106</v>
      </c>
      <c r="F113">
        <v>18586</v>
      </c>
      <c r="G113">
        <v>558.6</v>
      </c>
      <c r="H113">
        <v>126</v>
      </c>
      <c r="I113">
        <v>0.77443609022556392</v>
      </c>
    </row>
    <row r="114" spans="1:9">
      <c r="A114">
        <v>18594</v>
      </c>
      <c r="B114">
        <v>558.6</v>
      </c>
      <c r="C114">
        <v>0</v>
      </c>
      <c r="D114">
        <v>1</v>
      </c>
      <c r="F114">
        <v>18589</v>
      </c>
      <c r="G114">
        <v>558.6</v>
      </c>
      <c r="H114">
        <v>91.2</v>
      </c>
      <c r="I114">
        <v>0.83673469387755106</v>
      </c>
    </row>
    <row r="115" spans="1:9">
      <c r="A115">
        <v>18596</v>
      </c>
      <c r="B115">
        <v>558.6</v>
      </c>
      <c r="C115">
        <v>71</v>
      </c>
      <c r="D115">
        <v>0.87289652703186538</v>
      </c>
      <c r="F115">
        <v>18594</v>
      </c>
      <c r="G115">
        <v>558.6</v>
      </c>
      <c r="H115">
        <v>0</v>
      </c>
      <c r="I115">
        <v>1</v>
      </c>
    </row>
    <row r="116" spans="1:9">
      <c r="A116">
        <v>18598</v>
      </c>
      <c r="B116">
        <v>558.6</v>
      </c>
      <c r="C116">
        <v>191</v>
      </c>
      <c r="D116">
        <v>0.65807375581811678</v>
      </c>
      <c r="F116">
        <v>18596</v>
      </c>
      <c r="G116">
        <v>558.6</v>
      </c>
      <c r="H116">
        <v>71</v>
      </c>
      <c r="I116">
        <v>0.87289652703186538</v>
      </c>
    </row>
    <row r="117" spans="1:9">
      <c r="A117">
        <v>18601</v>
      </c>
      <c r="B117">
        <v>558.6</v>
      </c>
      <c r="C117">
        <v>69</v>
      </c>
      <c r="D117">
        <v>0.87647690655209454</v>
      </c>
      <c r="F117">
        <v>18598</v>
      </c>
      <c r="G117">
        <v>558.6</v>
      </c>
      <c r="H117">
        <v>191</v>
      </c>
      <c r="I117">
        <v>0.65807375581811678</v>
      </c>
    </row>
    <row r="118" spans="1:9">
      <c r="A118">
        <v>18605</v>
      </c>
      <c r="B118">
        <v>558.6</v>
      </c>
      <c r="C118">
        <v>33.6</v>
      </c>
      <c r="D118">
        <v>0.93984962406015038</v>
      </c>
      <c r="F118">
        <v>18601</v>
      </c>
      <c r="G118">
        <v>558.6</v>
      </c>
      <c r="H118">
        <v>69</v>
      </c>
      <c r="I118">
        <v>0.87647690655209454</v>
      </c>
    </row>
    <row r="119" spans="1:9">
      <c r="A119">
        <v>18606</v>
      </c>
      <c r="B119">
        <v>537.6</v>
      </c>
      <c r="C119">
        <v>149</v>
      </c>
      <c r="D119">
        <v>0.72284226190476186</v>
      </c>
      <c r="F119">
        <v>18605</v>
      </c>
      <c r="G119">
        <v>558.6</v>
      </c>
      <c r="H119">
        <v>33.6</v>
      </c>
      <c r="I119">
        <v>0.93984962406015038</v>
      </c>
    </row>
    <row r="120" spans="1:9">
      <c r="A120">
        <v>18608</v>
      </c>
      <c r="B120">
        <v>558.6</v>
      </c>
      <c r="C120">
        <v>177.40000000000003</v>
      </c>
      <c r="D120">
        <v>0.6824203365556748</v>
      </c>
      <c r="F120">
        <v>18606</v>
      </c>
      <c r="G120">
        <v>537.6</v>
      </c>
      <c r="H120">
        <v>149</v>
      </c>
      <c r="I120">
        <v>0.72284226190476186</v>
      </c>
    </row>
    <row r="121" spans="1:9">
      <c r="A121">
        <v>18610</v>
      </c>
      <c r="B121">
        <v>558.6</v>
      </c>
      <c r="C121">
        <v>100.80000000000001</v>
      </c>
      <c r="D121">
        <v>0.81954887218045114</v>
      </c>
      <c r="F121">
        <v>18608</v>
      </c>
      <c r="G121">
        <v>558.6</v>
      </c>
      <c r="H121">
        <v>177.40000000000003</v>
      </c>
      <c r="I121">
        <v>0.6824203365556748</v>
      </c>
    </row>
    <row r="122" spans="1:9">
      <c r="A122">
        <v>18613</v>
      </c>
      <c r="B122">
        <v>558.6</v>
      </c>
      <c r="C122">
        <v>144.80000000000001</v>
      </c>
      <c r="D122">
        <v>0.74078052273540995</v>
      </c>
      <c r="F122">
        <v>18610</v>
      </c>
      <c r="G122">
        <v>558.6</v>
      </c>
      <c r="H122">
        <v>100.80000000000001</v>
      </c>
      <c r="I122">
        <v>0.81954887218045114</v>
      </c>
    </row>
    <row r="123" spans="1:9">
      <c r="A123">
        <v>18614</v>
      </c>
      <c r="B123">
        <v>558.6</v>
      </c>
      <c r="C123">
        <v>19.8</v>
      </c>
      <c r="D123">
        <v>0.96455424274973156</v>
      </c>
      <c r="F123">
        <v>18613</v>
      </c>
      <c r="G123">
        <v>558.6</v>
      </c>
      <c r="H123">
        <v>144.80000000000001</v>
      </c>
      <c r="I123">
        <v>0.74078052273540995</v>
      </c>
    </row>
    <row r="124" spans="1:9">
      <c r="A124">
        <v>18617</v>
      </c>
      <c r="B124">
        <v>558.6</v>
      </c>
      <c r="C124">
        <v>122.8</v>
      </c>
      <c r="D124">
        <v>0.78016469745793049</v>
      </c>
      <c r="F124">
        <v>18614</v>
      </c>
      <c r="G124">
        <v>558.6</v>
      </c>
      <c r="H124">
        <v>19.8</v>
      </c>
      <c r="I124">
        <v>0.96455424274973156</v>
      </c>
    </row>
    <row r="125" spans="1:9">
      <c r="A125">
        <v>18621</v>
      </c>
      <c r="B125">
        <v>558.6</v>
      </c>
      <c r="C125">
        <v>55.6</v>
      </c>
      <c r="D125">
        <v>0.90046544933762973</v>
      </c>
      <c r="F125">
        <v>18617</v>
      </c>
      <c r="G125">
        <v>558.6</v>
      </c>
      <c r="H125">
        <v>122.8</v>
      </c>
      <c r="I125">
        <v>0.78016469745793049</v>
      </c>
    </row>
    <row r="126" spans="1:9">
      <c r="A126">
        <v>18622</v>
      </c>
      <c r="B126">
        <v>558.6</v>
      </c>
      <c r="C126">
        <v>72.400000000000006</v>
      </c>
      <c r="D126">
        <v>0.87039026136770503</v>
      </c>
      <c r="F126">
        <v>18621</v>
      </c>
      <c r="G126">
        <v>558.6</v>
      </c>
      <c r="H126">
        <v>55.6</v>
      </c>
      <c r="I126">
        <v>0.90046544933762973</v>
      </c>
    </row>
    <row r="127" spans="1:9">
      <c r="A127">
        <v>18623</v>
      </c>
      <c r="B127">
        <v>558.6</v>
      </c>
      <c r="C127">
        <v>140.40000000000003</v>
      </c>
      <c r="D127">
        <v>0.74865735767991404</v>
      </c>
      <c r="F127">
        <v>18622</v>
      </c>
      <c r="G127">
        <v>558.6</v>
      </c>
      <c r="H127">
        <v>72.400000000000006</v>
      </c>
      <c r="I127">
        <v>0.87039026136770503</v>
      </c>
    </row>
    <row r="128" spans="1:9">
      <c r="A128">
        <v>18626</v>
      </c>
      <c r="B128">
        <v>558.6</v>
      </c>
      <c r="C128">
        <v>113.4</v>
      </c>
      <c r="D128">
        <v>0.79699248120300759</v>
      </c>
      <c r="F128">
        <v>18623</v>
      </c>
      <c r="G128">
        <v>558.6</v>
      </c>
      <c r="H128">
        <v>140.40000000000003</v>
      </c>
      <c r="I128">
        <v>0.74865735767991404</v>
      </c>
    </row>
    <row r="129" spans="1:9">
      <c r="A129">
        <v>18628</v>
      </c>
      <c r="B129">
        <v>558.6</v>
      </c>
      <c r="C129">
        <v>0</v>
      </c>
      <c r="D129">
        <v>1</v>
      </c>
      <c r="F129">
        <v>18626</v>
      </c>
      <c r="G129">
        <v>558.6</v>
      </c>
      <c r="H129">
        <v>113.4</v>
      </c>
      <c r="I129">
        <v>0.79699248120300759</v>
      </c>
    </row>
    <row r="130" spans="1:9">
      <c r="A130">
        <v>18631</v>
      </c>
      <c r="B130">
        <v>558.6</v>
      </c>
      <c r="C130">
        <v>0</v>
      </c>
      <c r="D130">
        <v>1</v>
      </c>
      <c r="F130">
        <v>18628</v>
      </c>
      <c r="G130">
        <v>558.6</v>
      </c>
      <c r="H130">
        <v>0</v>
      </c>
      <c r="I130">
        <v>1</v>
      </c>
    </row>
    <row r="131" spans="1:9">
      <c r="A131">
        <v>17849</v>
      </c>
      <c r="B131">
        <v>558.6</v>
      </c>
      <c r="C131">
        <v>184.6</v>
      </c>
      <c r="D131">
        <v>0.66953097028284991</v>
      </c>
      <c r="F131">
        <v>18631</v>
      </c>
      <c r="G131">
        <v>558.6</v>
      </c>
      <c r="H131">
        <v>0</v>
      </c>
      <c r="I131">
        <v>1</v>
      </c>
    </row>
    <row r="132" spans="1:9">
      <c r="A132">
        <v>18626</v>
      </c>
      <c r="B132">
        <v>537.6</v>
      </c>
      <c r="C132">
        <v>113.4</v>
      </c>
      <c r="D132">
        <v>0.7890625</v>
      </c>
      <c r="F132">
        <v>17849</v>
      </c>
      <c r="G132">
        <v>558.6</v>
      </c>
      <c r="H132">
        <v>184.6</v>
      </c>
      <c r="I132">
        <v>0.66953097028284991</v>
      </c>
    </row>
    <row r="133" spans="1:9">
      <c r="A133">
        <v>18628</v>
      </c>
      <c r="B133">
        <v>537.6</v>
      </c>
      <c r="C133">
        <v>0</v>
      </c>
      <c r="D133">
        <v>1</v>
      </c>
      <c r="F133">
        <v>18631</v>
      </c>
    </row>
    <row r="134" spans="1:9">
      <c r="A134">
        <v>18631</v>
      </c>
      <c r="B134">
        <v>537.6</v>
      </c>
      <c r="C134">
        <v>0</v>
      </c>
      <c r="D134">
        <v>1</v>
      </c>
      <c r="F134">
        <v>17849</v>
      </c>
    </row>
    <row r="135" spans="1:9">
      <c r="A135">
        <v>17849</v>
      </c>
      <c r="B135">
        <v>537.6</v>
      </c>
      <c r="C135">
        <v>170</v>
      </c>
      <c r="D135">
        <v>0.68377976190476197</v>
      </c>
      <c r="F135">
        <v>17899</v>
      </c>
    </row>
    <row r="136" spans="1:9">
      <c r="A136">
        <v>17899</v>
      </c>
      <c r="B136">
        <v>537.6</v>
      </c>
      <c r="C136">
        <v>0</v>
      </c>
      <c r="D136">
        <v>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workbookViewId="0">
      <selection activeCell="I16" sqref="I16"/>
    </sheetView>
  </sheetViews>
  <sheetFormatPr defaultRowHeight="13.5"/>
  <cols>
    <col min="1" max="1" width="6.5" bestFit="1" customWidth="1"/>
    <col min="2" max="2" width="11.625" style="95" bestFit="1" customWidth="1"/>
    <col min="3" max="3" width="5.25" bestFit="1" customWidth="1"/>
    <col min="4" max="4" width="11.75" bestFit="1" customWidth="1"/>
    <col min="6" max="6" width="9.25" bestFit="1" customWidth="1"/>
    <col min="9" max="9" width="15.125" bestFit="1" customWidth="1"/>
    <col min="10" max="10" width="19.375" bestFit="1" customWidth="1"/>
  </cols>
  <sheetData>
    <row r="1" spans="1:10" ht="14.25" thickBot="1">
      <c r="A1" t="s">
        <v>311</v>
      </c>
      <c r="B1" s="95" t="s">
        <v>312</v>
      </c>
      <c r="C1" t="s">
        <v>313</v>
      </c>
      <c r="D1" t="s">
        <v>315</v>
      </c>
      <c r="E1" t="s">
        <v>314</v>
      </c>
      <c r="F1" t="s">
        <v>318</v>
      </c>
      <c r="H1" t="s">
        <v>311</v>
      </c>
      <c r="I1" t="s">
        <v>319</v>
      </c>
      <c r="J1" t="s">
        <v>320</v>
      </c>
    </row>
    <row r="2" spans="1:10">
      <c r="A2">
        <v>18336</v>
      </c>
      <c r="B2" s="95">
        <v>43741</v>
      </c>
      <c r="C2" t="s">
        <v>316</v>
      </c>
      <c r="D2">
        <v>2</v>
      </c>
      <c r="H2" s="91">
        <v>0</v>
      </c>
      <c r="I2">
        <f t="shared" ref="I2:I12" ca="1" si="0">SUMIF($A$2:$D$300,H2,$D$2:$D$300)</f>
        <v>0</v>
      </c>
      <c r="J2">
        <f t="shared" ref="J2:J12" ca="1" si="1">I2*4.2/4</f>
        <v>0</v>
      </c>
    </row>
    <row r="3" spans="1:10">
      <c r="A3">
        <v>18447</v>
      </c>
      <c r="B3" s="95">
        <v>43741</v>
      </c>
      <c r="C3" t="s">
        <v>316</v>
      </c>
      <c r="D3">
        <v>2</v>
      </c>
      <c r="F3" s="94">
        <v>43753</v>
      </c>
      <c r="H3" s="92">
        <v>17849</v>
      </c>
      <c r="I3">
        <f t="shared" ca="1" si="0"/>
        <v>6</v>
      </c>
      <c r="J3">
        <v>2.1</v>
      </c>
    </row>
    <row r="4" spans="1:10">
      <c r="A4">
        <v>18447</v>
      </c>
      <c r="B4" s="95">
        <v>43741</v>
      </c>
      <c r="C4" t="s">
        <v>316</v>
      </c>
      <c r="D4">
        <v>2</v>
      </c>
      <c r="F4" s="94">
        <v>43753</v>
      </c>
      <c r="H4" s="92">
        <v>18336</v>
      </c>
      <c r="I4">
        <f t="shared" ca="1" si="0"/>
        <v>2</v>
      </c>
      <c r="J4">
        <f t="shared" ca="1" si="1"/>
        <v>2.1</v>
      </c>
    </row>
    <row r="5" spans="1:10">
      <c r="A5">
        <v>18447</v>
      </c>
      <c r="B5" s="95">
        <v>43742</v>
      </c>
      <c r="C5" t="s">
        <v>316</v>
      </c>
      <c r="D5">
        <v>2</v>
      </c>
      <c r="F5" s="94">
        <v>43755</v>
      </c>
      <c r="H5" s="92">
        <v>18447</v>
      </c>
      <c r="I5">
        <f t="shared" ca="1" si="0"/>
        <v>20</v>
      </c>
      <c r="J5">
        <f t="shared" ca="1" si="1"/>
        <v>21</v>
      </c>
    </row>
    <row r="6" spans="1:10">
      <c r="A6">
        <v>18447</v>
      </c>
      <c r="B6" s="95">
        <v>43742</v>
      </c>
      <c r="C6" t="s">
        <v>316</v>
      </c>
      <c r="D6">
        <v>2</v>
      </c>
      <c r="F6" s="94">
        <v>43755</v>
      </c>
      <c r="H6" s="92">
        <v>18448</v>
      </c>
      <c r="I6">
        <f t="shared" ca="1" si="0"/>
        <v>4</v>
      </c>
      <c r="J6">
        <f t="shared" ca="1" si="1"/>
        <v>4.2</v>
      </c>
    </row>
    <row r="7" spans="1:10">
      <c r="A7">
        <v>18447</v>
      </c>
      <c r="B7" s="95">
        <v>43745</v>
      </c>
      <c r="C7" t="s">
        <v>316</v>
      </c>
      <c r="D7">
        <v>2</v>
      </c>
      <c r="H7" s="92">
        <v>18496</v>
      </c>
      <c r="I7">
        <f t="shared" ca="1" si="0"/>
        <v>10</v>
      </c>
      <c r="J7">
        <f t="shared" ca="1" si="1"/>
        <v>10.5</v>
      </c>
    </row>
    <row r="8" spans="1:10">
      <c r="A8">
        <v>18447</v>
      </c>
      <c r="B8" s="95">
        <v>43745</v>
      </c>
      <c r="C8" t="s">
        <v>316</v>
      </c>
      <c r="D8">
        <v>2</v>
      </c>
      <c r="H8" s="92">
        <v>18506</v>
      </c>
      <c r="I8">
        <f t="shared" ca="1" si="0"/>
        <v>15</v>
      </c>
      <c r="J8">
        <f t="shared" ca="1" si="1"/>
        <v>15.75</v>
      </c>
    </row>
    <row r="9" spans="1:10">
      <c r="A9">
        <v>18506</v>
      </c>
      <c r="B9" s="95">
        <v>43741</v>
      </c>
      <c r="C9" t="s">
        <v>316</v>
      </c>
      <c r="D9">
        <v>2</v>
      </c>
      <c r="H9" s="92">
        <v>18521</v>
      </c>
      <c r="I9">
        <f t="shared" ca="1" si="0"/>
        <v>24</v>
      </c>
      <c r="J9">
        <f t="shared" ca="1" si="1"/>
        <v>25.200000000000003</v>
      </c>
    </row>
    <row r="10" spans="1:10">
      <c r="A10">
        <v>18506</v>
      </c>
      <c r="B10" s="95">
        <v>43741</v>
      </c>
      <c r="C10" t="s">
        <v>316</v>
      </c>
      <c r="D10">
        <v>2</v>
      </c>
      <c r="H10" s="92">
        <v>18579</v>
      </c>
      <c r="I10">
        <f t="shared" ca="1" si="0"/>
        <v>0</v>
      </c>
      <c r="J10">
        <f t="shared" ca="1" si="1"/>
        <v>0</v>
      </c>
    </row>
    <row r="11" spans="1:10">
      <c r="A11">
        <v>18506</v>
      </c>
      <c r="B11" s="95">
        <v>43742</v>
      </c>
      <c r="C11" t="s">
        <v>316</v>
      </c>
      <c r="D11">
        <v>2</v>
      </c>
      <c r="H11" s="92">
        <v>18582</v>
      </c>
      <c r="I11">
        <f t="shared" ca="1" si="0"/>
        <v>12</v>
      </c>
      <c r="J11">
        <f t="shared" ca="1" si="1"/>
        <v>12.600000000000001</v>
      </c>
    </row>
    <row r="12" spans="1:10" ht="14.25" thickBot="1">
      <c r="A12">
        <v>18506</v>
      </c>
      <c r="B12" s="95">
        <v>43742</v>
      </c>
      <c r="C12" t="s">
        <v>316</v>
      </c>
      <c r="D12">
        <v>2</v>
      </c>
      <c r="H12" s="93">
        <v>99999</v>
      </c>
      <c r="I12">
        <f t="shared" ca="1" si="0"/>
        <v>0</v>
      </c>
      <c r="J12">
        <f t="shared" ca="1" si="1"/>
        <v>0</v>
      </c>
    </row>
    <row r="13" spans="1:10">
      <c r="A13">
        <v>18506</v>
      </c>
      <c r="B13" s="95">
        <v>43745</v>
      </c>
      <c r="C13" t="s">
        <v>316</v>
      </c>
      <c r="D13">
        <v>2</v>
      </c>
    </row>
    <row r="14" spans="1:10">
      <c r="A14">
        <v>18506</v>
      </c>
      <c r="B14" s="95">
        <v>43745</v>
      </c>
      <c r="C14" t="s">
        <v>316</v>
      </c>
      <c r="D14">
        <v>2</v>
      </c>
    </row>
    <row r="15" spans="1:10">
      <c r="A15">
        <v>18521</v>
      </c>
      <c r="B15" s="95">
        <v>43741</v>
      </c>
      <c r="C15" t="s">
        <v>316</v>
      </c>
      <c r="D15">
        <v>2</v>
      </c>
      <c r="F15" s="94">
        <v>43753</v>
      </c>
    </row>
    <row r="16" spans="1:10">
      <c r="A16">
        <v>18521</v>
      </c>
      <c r="B16" s="95">
        <v>43741</v>
      </c>
      <c r="C16" t="s">
        <v>316</v>
      </c>
      <c r="D16">
        <v>2</v>
      </c>
      <c r="F16" s="94">
        <v>43753</v>
      </c>
    </row>
    <row r="17" spans="1:6">
      <c r="A17">
        <v>18521</v>
      </c>
      <c r="B17" s="95">
        <v>43742</v>
      </c>
      <c r="C17" t="s">
        <v>316</v>
      </c>
      <c r="D17">
        <v>2</v>
      </c>
    </row>
    <row r="18" spans="1:6">
      <c r="A18">
        <v>18521</v>
      </c>
      <c r="B18" s="95">
        <v>43742</v>
      </c>
      <c r="C18" t="s">
        <v>316</v>
      </c>
      <c r="D18">
        <v>2</v>
      </c>
    </row>
    <row r="19" spans="1:6">
      <c r="A19">
        <v>18521</v>
      </c>
      <c r="B19" s="95">
        <v>43745</v>
      </c>
      <c r="C19" t="s">
        <v>316</v>
      </c>
      <c r="D19">
        <v>2</v>
      </c>
    </row>
    <row r="20" spans="1:6">
      <c r="A20">
        <v>18521</v>
      </c>
      <c r="B20" s="95">
        <v>43745</v>
      </c>
      <c r="C20" t="s">
        <v>316</v>
      </c>
      <c r="D20">
        <v>2</v>
      </c>
    </row>
    <row r="21" spans="1:6">
      <c r="A21">
        <v>18521</v>
      </c>
      <c r="B21" s="95">
        <v>43746</v>
      </c>
      <c r="C21" t="s">
        <v>316</v>
      </c>
      <c r="D21">
        <v>2</v>
      </c>
    </row>
    <row r="22" spans="1:6">
      <c r="A22">
        <v>18582</v>
      </c>
      <c r="C22" t="s">
        <v>316</v>
      </c>
      <c r="D22">
        <v>2</v>
      </c>
      <c r="F22" s="94">
        <v>43753</v>
      </c>
    </row>
    <row r="23" spans="1:6">
      <c r="A23">
        <v>18447</v>
      </c>
      <c r="B23" s="95">
        <v>43746</v>
      </c>
      <c r="C23" t="s">
        <v>317</v>
      </c>
      <c r="D23">
        <v>2</v>
      </c>
    </row>
    <row r="24" spans="1:6">
      <c r="A24">
        <v>18447</v>
      </c>
      <c r="B24" s="95">
        <v>43746</v>
      </c>
      <c r="C24" t="s">
        <v>317</v>
      </c>
      <c r="D24">
        <v>2</v>
      </c>
    </row>
    <row r="25" spans="1:6">
      <c r="A25">
        <v>18447</v>
      </c>
      <c r="B25" s="95">
        <v>43747</v>
      </c>
      <c r="C25" t="s">
        <v>317</v>
      </c>
      <c r="D25">
        <v>2</v>
      </c>
    </row>
    <row r="26" spans="1:6">
      <c r="A26">
        <v>18447</v>
      </c>
      <c r="B26" s="95">
        <v>43747</v>
      </c>
      <c r="C26" t="s">
        <v>317</v>
      </c>
      <c r="D26">
        <v>2</v>
      </c>
    </row>
    <row r="27" spans="1:6">
      <c r="A27">
        <v>18448</v>
      </c>
      <c r="B27" s="95">
        <v>43741</v>
      </c>
      <c r="C27" t="s">
        <v>317</v>
      </c>
      <c r="D27">
        <v>4</v>
      </c>
      <c r="F27" s="94">
        <v>43753</v>
      </c>
    </row>
    <row r="28" spans="1:6">
      <c r="A28">
        <v>18496</v>
      </c>
      <c r="B28" s="95">
        <v>43741</v>
      </c>
      <c r="C28" t="s">
        <v>317</v>
      </c>
      <c r="D28">
        <v>2</v>
      </c>
      <c r="F28" s="94">
        <v>43753</v>
      </c>
    </row>
    <row r="29" spans="1:6">
      <c r="A29">
        <v>18506</v>
      </c>
      <c r="B29" s="95">
        <v>43746</v>
      </c>
      <c r="C29" t="s">
        <v>317</v>
      </c>
      <c r="D29">
        <v>3</v>
      </c>
    </row>
    <row r="30" spans="1:6">
      <c r="A30">
        <v>18521</v>
      </c>
      <c r="B30" s="95">
        <v>43746</v>
      </c>
      <c r="C30" t="s">
        <v>317</v>
      </c>
      <c r="D30">
        <v>2</v>
      </c>
    </row>
    <row r="31" spans="1:6">
      <c r="A31">
        <v>18582</v>
      </c>
      <c r="C31" t="s">
        <v>317</v>
      </c>
      <c r="D31">
        <v>2</v>
      </c>
      <c r="F31" s="94">
        <v>43753</v>
      </c>
    </row>
    <row r="32" spans="1:6">
      <c r="A32">
        <v>18582</v>
      </c>
      <c r="C32" t="s">
        <v>317</v>
      </c>
      <c r="D32">
        <v>2</v>
      </c>
      <c r="F32" s="94">
        <v>43754</v>
      </c>
    </row>
    <row r="33" spans="1:7">
      <c r="A33">
        <v>18582</v>
      </c>
      <c r="C33" t="s">
        <v>317</v>
      </c>
      <c r="D33">
        <v>2</v>
      </c>
      <c r="F33" s="94">
        <v>43754</v>
      </c>
    </row>
    <row r="34" spans="1:7">
      <c r="A34">
        <v>18582</v>
      </c>
      <c r="C34" t="s">
        <v>317</v>
      </c>
      <c r="D34">
        <v>2</v>
      </c>
    </row>
    <row r="35" spans="1:7">
      <c r="A35">
        <v>18582</v>
      </c>
      <c r="C35" t="s">
        <v>317</v>
      </c>
      <c r="D35">
        <v>2</v>
      </c>
    </row>
    <row r="36" spans="1:7">
      <c r="A36">
        <v>18521</v>
      </c>
      <c r="B36" s="95">
        <v>43747</v>
      </c>
      <c r="C36" t="s">
        <v>317</v>
      </c>
      <c r="D36">
        <v>2</v>
      </c>
    </row>
    <row r="37" spans="1:7">
      <c r="A37">
        <v>18521</v>
      </c>
      <c r="B37" s="95">
        <v>43747</v>
      </c>
      <c r="C37" t="s">
        <v>317</v>
      </c>
      <c r="D37">
        <v>2</v>
      </c>
    </row>
    <row r="38" spans="1:7">
      <c r="A38">
        <v>18521</v>
      </c>
      <c r="B38" s="95">
        <v>43748</v>
      </c>
      <c r="C38" t="s">
        <v>317</v>
      </c>
      <c r="D38">
        <v>2</v>
      </c>
    </row>
    <row r="39" spans="1:7">
      <c r="A39">
        <v>18521</v>
      </c>
      <c r="B39" s="95">
        <v>43748</v>
      </c>
      <c r="C39" t="s">
        <v>317</v>
      </c>
      <c r="D39">
        <v>2</v>
      </c>
    </row>
    <row r="40" spans="1:7">
      <c r="A40">
        <v>18496</v>
      </c>
      <c r="B40" s="95">
        <v>43741</v>
      </c>
      <c r="C40" t="s">
        <v>317</v>
      </c>
      <c r="D40">
        <v>2</v>
      </c>
      <c r="F40" s="94">
        <v>43753</v>
      </c>
    </row>
    <row r="41" spans="1:7">
      <c r="A41">
        <v>18496</v>
      </c>
      <c r="B41" s="95">
        <v>43742</v>
      </c>
      <c r="C41" t="s">
        <v>317</v>
      </c>
      <c r="D41">
        <v>2</v>
      </c>
      <c r="F41" s="94">
        <v>43755</v>
      </c>
    </row>
    <row r="42" spans="1:7">
      <c r="A42">
        <v>18496</v>
      </c>
      <c r="B42" s="95">
        <v>43742</v>
      </c>
      <c r="C42" t="s">
        <v>317</v>
      </c>
      <c r="D42">
        <v>2</v>
      </c>
      <c r="F42" s="94">
        <v>43755</v>
      </c>
    </row>
    <row r="43" spans="1:7">
      <c r="A43">
        <v>18496</v>
      </c>
      <c r="B43" s="95">
        <v>43745</v>
      </c>
      <c r="C43" t="s">
        <v>317</v>
      </c>
      <c r="D43">
        <v>2</v>
      </c>
    </row>
    <row r="44" spans="1:7">
      <c r="A44">
        <v>17849</v>
      </c>
      <c r="B44" s="95">
        <v>43741</v>
      </c>
      <c r="C44" t="s">
        <v>322</v>
      </c>
      <c r="D44">
        <v>3</v>
      </c>
      <c r="F44" s="94">
        <v>43753</v>
      </c>
    </row>
    <row r="45" spans="1:7">
      <c r="A45">
        <v>17849</v>
      </c>
      <c r="B45" s="95">
        <v>43742</v>
      </c>
      <c r="C45" t="s">
        <v>323</v>
      </c>
      <c r="D45">
        <v>1</v>
      </c>
      <c r="F45" s="94">
        <v>43753</v>
      </c>
    </row>
    <row r="46" spans="1:7">
      <c r="A46">
        <v>17849</v>
      </c>
      <c r="B46" s="95">
        <v>43742</v>
      </c>
      <c r="C46" t="s">
        <v>323</v>
      </c>
      <c r="D46">
        <v>2</v>
      </c>
      <c r="F46" s="94">
        <v>43754</v>
      </c>
      <c r="G46" t="s">
        <v>324</v>
      </c>
    </row>
  </sheetData>
  <autoFilter ref="A1:F43"/>
  <sortState ref="H2:H11">
    <sortCondition ref="H2:H11"/>
  </sortState>
  <phoneticPr fontId="3"/>
  <dataValidations count="1">
    <dataValidation type="list" allowBlank="1" showInputMessage="1" showErrorMessage="1" sqref="A2:A1048576">
      <formula1>$H$2:$H$12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401</vt:lpstr>
      <vt:lpstr>402</vt:lpstr>
      <vt:lpstr>ベトナム特進</vt:lpstr>
      <vt:lpstr>出席状況</vt:lpstr>
      <vt:lpstr>補講記録</vt:lpstr>
      <vt:lpstr>'401'!Print_Area</vt:lpstr>
      <vt:lpstr>'402'!Print_Area</vt:lpstr>
      <vt:lpstr>ベトナム特進!Print_Area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CKG02</dc:creator>
  <cp:lastModifiedBy>y.ueda</cp:lastModifiedBy>
  <cp:lastPrinted>2019-11-20T06:42:13Z</cp:lastPrinted>
  <dcterms:created xsi:type="dcterms:W3CDTF">2014-07-08T02:46:15Z</dcterms:created>
  <dcterms:modified xsi:type="dcterms:W3CDTF">2019-11-20T07:47:22Z</dcterms:modified>
</cp:coreProperties>
</file>